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E:\projects\sat\tools\jama\"/>
    </mc:Choice>
  </mc:AlternateContent>
  <xr:revisionPtr revIDLastSave="0" documentId="13_ncr:1_{295222A2-9640-4D2D-9817-A0D6168A25E5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test_template" sheetId="1" r:id="rId1"/>
    <sheet name="summary" sheetId="2" r:id="rId2"/>
    <sheet name="蜂窝网络" sheetId="3" r:id="rId3"/>
    <sheet name="EM" sheetId="4" r:id="rId4"/>
    <sheet name="数字安全" sheetId="6" r:id="rId5"/>
    <sheet name="以太网通信" sheetId="5" r:id="rId6"/>
    <sheet name="GNSS" sheetId="7" r:id="rId7"/>
    <sheet name="DoIP" sheetId="9" r:id="rId8"/>
    <sheet name="SoftwareUpdate" sheetId="8" r:id="rId9"/>
    <sheet name="新能源车监控RTM" sheetId="10" r:id="rId10"/>
    <sheet name="网络管理" sheetId="11" r:id="rId11"/>
    <sheet name="HAVP" sheetId="12" r:id="rId12"/>
    <sheet name="远程车控（删除）" sheetId="13" r:id="rId13"/>
    <sheet name="FOTA" sheetId="14" r:id="rId14"/>
    <sheet name="Ecall" sheetId="15" r:id="rId15"/>
  </sheets>
  <externalReferences>
    <externalReference r:id="rId16"/>
    <externalReference r:id="rId17"/>
  </externalReferences>
  <definedNames>
    <definedName name="_xlnm._FilterDatabase" localSheetId="7" hidden="1">DoIP!$C$1:$O$141</definedName>
    <definedName name="_xlnm._FilterDatabase" localSheetId="9" hidden="1">新能源车监控RTM!$A$1:$O$232</definedName>
    <definedName name="BooleanRange">#REF!</definedName>
    <definedName name="LookupTypeRange225">#REF!</definedName>
    <definedName name="LookupTypeRange256" localSheetId="7">[1]ValidationData!$D$1:$D$4</definedName>
    <definedName name="LookupTypeRange256" localSheetId="3">[2]ValidationData!$D$1:$D$4</definedName>
    <definedName name="LookupTypeRange256" localSheetId="8">[1]ValidationData!$D$1:$D$4</definedName>
    <definedName name="LookupTypeRange256">#REF!</definedName>
    <definedName name="LookupTypeRange257" localSheetId="7">[1]ValidationData!$E$1:$E$3</definedName>
    <definedName name="LookupTypeRange257" localSheetId="3">[2]ValidationData!$E$1:$E$3</definedName>
    <definedName name="LookupTypeRange257" localSheetId="8">[1]ValidationData!$E$1:$E$3</definedName>
    <definedName name="LookupTypeRange257">#REF!</definedName>
    <definedName name="LookupTypeRange263" localSheetId="7">[1]ValidationData!$G$1:$G$4</definedName>
    <definedName name="LookupTypeRange263" localSheetId="3">[2]ValidationData!$G$1:$G$4</definedName>
    <definedName name="LookupTypeRange263" localSheetId="8">[1]ValidationData!$G$1:$G$4</definedName>
    <definedName name="LookupTypeRange263">#REF!</definedName>
    <definedName name="LookupTypeRange275">#REF!</definedName>
    <definedName name="LookupTypeRange276">#REF!</definedName>
    <definedName name="LookupTypeRange277">#REF!</definedName>
    <definedName name="testCaseStatus">#REF!</definedName>
    <definedName name="testRunStatus">#REF!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</calcChain>
</file>

<file path=xl/sharedStrings.xml><?xml version="1.0" encoding="utf-8"?>
<sst xmlns="http://schemas.openxmlformats.org/spreadsheetml/2006/main" count="9824" uniqueCount="2464">
  <si>
    <t>Case_ID</t>
  </si>
  <si>
    <t>Name</t>
  </si>
  <si>
    <t>Preconditions</t>
  </si>
  <si>
    <t>Test Steps</t>
  </si>
  <si>
    <t>Expect Results</t>
  </si>
  <si>
    <t>Test Platform</t>
  </si>
  <si>
    <t>Test Execution Mode</t>
  </si>
  <si>
    <t>TestCase Priority</t>
  </si>
  <si>
    <t>Tags</t>
  </si>
  <si>
    <t>Verifies(DPMS/CR/Issue)</t>
  </si>
  <si>
    <t>Test Level</t>
  </si>
  <si>
    <t>Automatable</t>
  </si>
  <si>
    <t>基础架构_网络架构_诊断_0001</t>
  </si>
  <si>
    <t>UDS_诊断会话控制(0x10)_DedaultSession切其他session</t>
  </si>
  <si>
    <t>1. 上电默认Default Session</t>
  </si>
  <si>
    <t>1. Tester发送请求进入DefaultSession: 10 01
2. Tester发送请求进入ProgrammingSession: 10 02
3. Tester发送请求进入DefaultSession: 10 01
4. Tester发送请求进入ExtendedSession: 10 03</t>
  </si>
  <si>
    <t>1.肯定响应： 50 01
2.肯定响应： 50 02
3.肯定响应： 50 01
4.肯定响应： 50 03</t>
  </si>
  <si>
    <t>Bench</t>
  </si>
  <si>
    <t>Automation</t>
  </si>
  <si>
    <t>P0</t>
  </si>
  <si>
    <t>BGM, TCAM</t>
  </si>
  <si>
    <t>DPMS-5678</t>
  </si>
  <si>
    <t>full</t>
  </si>
  <si>
    <t>Y</t>
  </si>
  <si>
    <t>基础架构_网络架构_诊断_0002</t>
  </si>
  <si>
    <t>UDS_诊断会话控制(0x10)_ProgrammingSession切其他session</t>
  </si>
  <si>
    <t>1.Tester发送请求进入ProgrammingSession: 10 02
2.Tester发送请求进入ProgrammingSession: 10 02
3.Tester发送请求进入DefaultSession: 10 01
4.Tester发送请求进入ProgrammingSession: 10 02
5.Tester发送请求进入ExtenedProgrammingSession: 10 03</t>
  </si>
  <si>
    <t>1.肯定响应：50 02
2.肯定响应：50 02
3.肯定响应：50 01
4.肯定响应：50 02
5.否定响应：7F 10 7F</t>
  </si>
  <si>
    <t>说明</t>
  </si>
  <si>
    <t>1. Case_ID: 最多3级目录+编号，按jama的EFF结构来定义</t>
  </si>
  <si>
    <t>2. Name, 如功能是4/5级目录，可江剩余目录结构体现在name中</t>
  </si>
  <si>
    <t>3. Name需要将测试目的尽量精简的描述，明确用例目的</t>
  </si>
  <si>
    <t>4. Precondition，如需要多个precondition，需要进行序列编号</t>
  </si>
  <si>
    <t>5. Test Steps中的步骤编号需与Expect Results中的步骤编号对应</t>
  </si>
  <si>
    <t>6. 如Test Steps中的某个步骤没有定义expect result，则expect result中跳过对应的编号</t>
  </si>
  <si>
    <t>7. Test Platform，同jama定义，定义用例执行环境</t>
  </si>
  <si>
    <t>8. Test Execution Mode, 同jama， 定义用例是手动执行还是自动化执行</t>
  </si>
  <si>
    <t>9. TestCase Priority, 同jama，定义用例的重要程度，如何定义</t>
  </si>
  <si>
    <t>10. Tags, 标记用例适用的域控</t>
  </si>
  <si>
    <t>11. Verifies，用于标记用例设计覆盖的需求，可定义为DPMS，或CR，或bug，用于统计需求覆盖率</t>
  </si>
  <si>
    <t>12. Test Level，定义用例的测试等级，smoke作为最基本的软件可用性检查；sanity/full</t>
  </si>
  <si>
    <t>13. Automatable，用例是否可实现自动化，用于统计自动化率</t>
  </si>
  <si>
    <t>Function</t>
  </si>
  <si>
    <t>CaseNum</t>
  </si>
  <si>
    <t>DoIP</t>
  </si>
  <si>
    <t>SoftwareUpdate</t>
  </si>
  <si>
    <t>EM</t>
  </si>
  <si>
    <t>新能源车监控RTM</t>
  </si>
  <si>
    <t>基础数据上报</t>
  </si>
  <si>
    <t>以太网通信</t>
  </si>
  <si>
    <t>网络管理</t>
  </si>
  <si>
    <t>HAVP</t>
  </si>
  <si>
    <t>远程车控</t>
  </si>
  <si>
    <t>GNSS</t>
  </si>
  <si>
    <t>数字安全</t>
  </si>
  <si>
    <t>FOTA</t>
  </si>
  <si>
    <t>总计</t>
  </si>
  <si>
    <t>jama_id</t>
  </si>
  <si>
    <t>Case_Path</t>
  </si>
  <si>
    <t>TestSteps</t>
  </si>
  <si>
    <t>ExpectResults</t>
  </si>
  <si>
    <t>Test_Platform</t>
  </si>
  <si>
    <t>Test_Execution_Mode</t>
  </si>
  <si>
    <t>TestCase_Priority</t>
  </si>
  <si>
    <t>Verifies_DPMS_CR_Issue</t>
  </si>
  <si>
    <t>Test_Level</t>
  </si>
  <si>
    <t>Release_Version</t>
  </si>
  <si>
    <t>互联服务/移动网络</t>
  </si>
  <si>
    <t>系统需求_互联服务_联网服务_001</t>
  </si>
  <si>
    <t>TCAM联网服务_001</t>
  </si>
  <si>
    <t>1.TCAM外接天线
2.TCAM正常启动</t>
  </si>
  <si>
    <t>1.adb 进入TCAM，ping 8.8.8.8 or www.baidu.com</t>
  </si>
  <si>
    <t>1. TCAM能ping通baidu or 8.8.8.8</t>
  </si>
  <si>
    <t>Manual</t>
  </si>
  <si>
    <t>TCAM</t>
  </si>
  <si>
    <t>DPMS-6622,DPMS-7520</t>
  </si>
  <si>
    <t>smoke</t>
  </si>
  <si>
    <t>N</t>
  </si>
  <si>
    <t>v0.6</t>
  </si>
  <si>
    <t>系统需求_互联服务_联网服务_002</t>
  </si>
  <si>
    <t>TCAM联网服务_002</t>
  </si>
  <si>
    <t>1.TCAM不接天线
2.TCAM正常启动</t>
  </si>
  <si>
    <t>系统需求_互联服务_联网服务_003</t>
  </si>
  <si>
    <t>TCAM联网服务_003</t>
  </si>
  <si>
    <t>1.adb 进入TCAM，ping 8.8.8.8 or www.baidu.com
2. reset TCAM后观察网络</t>
  </si>
  <si>
    <t>1. TCAM能ping通baidu or 8.8.8.8
2.TCAM重启后网络正常</t>
  </si>
  <si>
    <t>系统需求_互联服务_联网服务_004</t>
  </si>
  <si>
    <t>BGM联网服务_001</t>
  </si>
  <si>
    <t>1.BGM、TCAM正常启动
2.BGM、TCAM连接正常
3.TCAM外接天线</t>
  </si>
  <si>
    <t>1.ssh 进入BGM
2.ping 172.16.5.31
3.ping www.baidu.com or 8.8.8.8</t>
  </si>
  <si>
    <t>1. BGM能ping通TCAM
2.BGM能ping通baidu or 8.8.8.8</t>
  </si>
  <si>
    <t>TCAM/BGM</t>
  </si>
  <si>
    <t>系统需求_互联服务_联网服务_005</t>
  </si>
  <si>
    <t>BGM联网服务_002</t>
  </si>
  <si>
    <t>1.BGM、TCAM正常启动
2.BGM、TCAM连接正常
3.TCAM不接天线</t>
  </si>
  <si>
    <t>系统需求_互联服务_联网服务_006</t>
  </si>
  <si>
    <t>BGM联网服务_003</t>
  </si>
  <si>
    <t>1.ssh 进入BGM
2.ping 172.16.5.31
3.ping www.baidu.com or 8.8.8.8
4.reset BGM</t>
  </si>
  <si>
    <t>1. BGM能ping通TCAM
2.BGM能ping通baidu or 8.8.8.8
3.BGM 重启后网络正常</t>
  </si>
  <si>
    <t>系统需求_互联服务_联网服务_007</t>
  </si>
  <si>
    <t>TCAM移动APN_001</t>
  </si>
  <si>
    <t>1.查看APN分配</t>
  </si>
  <si>
    <t>1.TCAM有4路APN</t>
  </si>
  <si>
    <t>P1</t>
  </si>
  <si>
    <t>SOA-4245</t>
  </si>
  <si>
    <t>系统需求_互联服务_联网服务_008</t>
  </si>
  <si>
    <t>TCAM联通APN_001</t>
  </si>
  <si>
    <t>1.TCAM有4路APN(联通只支持一路APN，将VLAN5/30/31/32映射至该唯一APN)</t>
  </si>
  <si>
    <t>系统需求_互联服务_联网服务_009</t>
  </si>
  <si>
    <t>TCAM联网服务_飞行模式_001</t>
  </si>
  <si>
    <t>1.TCAM正常启动</t>
  </si>
  <si>
    <t>1.adb 进入TCAM，设置AT指令AT+CFUN=4
2.ping 8.8.8.8 or www.baidu.com</t>
  </si>
  <si>
    <t>1.飞行模式设置成功
2. 网络不通：Temporary failure in name resolution</t>
  </si>
  <si>
    <t>sanity</t>
  </si>
  <si>
    <t>系统需求_互联服务_联网服务_010</t>
  </si>
  <si>
    <t>BGM联网服务_飞行模式_001</t>
  </si>
  <si>
    <t>1.BGM、TCAM正常启动
2.BGM、TCAM连接正常</t>
  </si>
  <si>
    <t>1.adb 进入TCAM，设置AT指令AT+CFUN=4
2.ssh进入BGM
3.ping 172.16.5.31
4.ping www.baidu.com or 8.8.8.8</t>
  </si>
  <si>
    <t>1.飞行模式设置成功
2.BGM 能ping通TCAM
3.网络不通:Temporary failure in name resolution</t>
  </si>
  <si>
    <t>系统需求_互联服务_联网服务_011</t>
  </si>
  <si>
    <t>TCAM_信号恢复_001</t>
  </si>
  <si>
    <t>1.BGM、TCAM正常启动</t>
  </si>
  <si>
    <t>1. 网络由无信号变为有信号</t>
  </si>
  <si>
    <t>1. TCAM网络恢复，TCAM能ping通baidu</t>
  </si>
  <si>
    <t>系统需求_互联服务_联网服务_012</t>
  </si>
  <si>
    <t>BGM_信号恢复_001</t>
  </si>
  <si>
    <t>2.BGM、TCAM连接正常</t>
  </si>
  <si>
    <t>1. TCAM网络恢复，BGM 能ping通baidu</t>
  </si>
  <si>
    <t>系统需求_互联服务_联网服务_013</t>
  </si>
  <si>
    <t>TCAM移动网卡_001</t>
  </si>
  <si>
    <t>1.查看网卡生成</t>
  </si>
  <si>
    <t>1.TCAM有4个网卡生成分别是rmnet_data0,rmnet_data1,rmnet_data2,rmnet_data3</t>
  </si>
  <si>
    <t>系统需求_互联服务_联网服务_014</t>
  </si>
  <si>
    <t>TCAM移动网卡_002</t>
  </si>
  <si>
    <t>1.检查网卡上网能力</t>
  </si>
  <si>
    <t>1.rmnet_data0,rmnet_data1,rmnet_data2,rmnet_data3 四个网卡至少有三个可以ping 通外网，剩下一个可以ping 通10.90.1.2</t>
  </si>
  <si>
    <t>架构基础/EM</t>
  </si>
  <si>
    <t>BaseTech_Internal_EM_001</t>
  </si>
  <si>
    <t>EM normal startup test</t>
  </si>
  <si>
    <t>1. TCAM保持下电</t>
  </si>
  <si>
    <t xml:space="preserve">1. TCAM上电，使用串口连接TCAM，查看EM进程：ps aux | grep em
</t>
  </si>
  <si>
    <t>1.EM进程自动启动，TCAM功能正常</t>
  </si>
  <si>
    <t>BaseTech_Internal_EM_002</t>
  </si>
  <si>
    <t>EM_SM monitoring test_autostart</t>
  </si>
  <si>
    <t>1.TCAM保持下电</t>
  </si>
  <si>
    <t>1. TCAM上电，使用串口连接TCAM，查看EM 配置文件中的进程：ps aux
2. 将应用a执行操作：kill -9 PID(a)
3. 等待一段时间，查看运行进程</t>
  </si>
  <si>
    <t>1.服务A 自动被拉起</t>
  </si>
  <si>
    <t>BaseTech_Internal_EM_003</t>
  </si>
  <si>
    <t>EM startup sequence test</t>
  </si>
  <si>
    <t>1. TCAM上电，使用串口连接TCAM，查看EM 配置文件中的进程：ps aux
2.对比各进程的PID 和Appinfo.json中的配置顺序</t>
  </si>
  <si>
    <t>1.AppInfo.json中配置越靠前，PID越小</t>
  </si>
  <si>
    <t>BaseTech_Internal_EM_004</t>
  </si>
  <si>
    <t>EM startup broadcast</t>
  </si>
  <si>
    <t>1. TCAM上电，使用串口连接TCAM，查看EM日志</t>
  </si>
  <si>
    <t>1.EM广播UpdateonStartEvent !!!
2.RemoteCtrl 收到广播：RemoteCtrl received onStartCallback EnumReason</t>
  </si>
  <si>
    <t>BaseTech_Internal_EM_005</t>
  </si>
  <si>
    <t>EM sleep broadcast</t>
  </si>
  <si>
    <t>1. TCAM上电后，一段时间断开KL15</t>
  </si>
  <si>
    <t>1.休眠后EM广播： UpdateonPauseEvent DCEMService::EnumReason::STANDBY
2.RemoteCtrl收到广播：RemoteCtrl received onStopCallback EnumReason及onStopCallback bShutdownReady</t>
  </si>
  <si>
    <t>BaseTech_Internal_EM_006</t>
  </si>
  <si>
    <t>EM restart broadcast</t>
  </si>
  <si>
    <t>1.TCAM保持下电
2.1. TCAM上电后，一段时间断开KL15</t>
  </si>
  <si>
    <t>1. 连接KL15唤醒</t>
  </si>
  <si>
    <t>1. 再次唤醒后EM广播 UpdateonResumeEvent DCEMService::EnumReason::NORMAL
2.RemoteCtrl收到广播RemoteCtrl onResumeCallback=</t>
  </si>
  <si>
    <t>架构基础/数字安全</t>
  </si>
  <si>
    <t>基础架构_数字安全_诊断与刷写安全_001</t>
  </si>
  <si>
    <t>高级安全访问解锁_解锁L7访问权限_001</t>
  </si>
  <si>
    <t>1. tester连接TCAM
2.tester进入ECU扩展会话，解锁L7</t>
  </si>
  <si>
    <t>1.tester连接成功TCAM
2. 解锁L7成功</t>
  </si>
  <si>
    <t>DPMS-16107</t>
  </si>
  <si>
    <t>基础架构_数字安全_VIN 链接证书管理_002</t>
  </si>
  <si>
    <t>数字证书安装_TCAM_001</t>
  </si>
  <si>
    <t xml:space="preserve"> 1. Tester连接TCAM
2. 解锁L7
3.证书安装 01
4.查看TCAM证书是否安装成功</t>
  </si>
  <si>
    <t>1.成功连接TCAM
2.解锁L7成功
3.tester显示安装成功
4.TCAM 01证书安装成功</t>
  </si>
  <si>
    <t>DPMS-7355</t>
  </si>
  <si>
    <t>基础架构_数字安全_VIN 链接证书管理_003</t>
  </si>
  <si>
    <t>数字证书安装_TCAM_002</t>
  </si>
  <si>
    <t>1. Tester连接TCAM
2. 解锁L7
3.证书安装 02
4.查看TCAM证书是否安装成功</t>
  </si>
  <si>
    <t>1.成功连接TCAM
2.解锁L7成功
3.tester显示安装成功
4.TCAM 02证书安装成功</t>
  </si>
  <si>
    <t>基础架构_数字安全_VIN 链接证书管理_004</t>
  </si>
  <si>
    <t>数字证书安装_TCAM_003</t>
  </si>
  <si>
    <t>1. Tester连接TCAM
2. 解锁L7
3.证书安装 03
4.查看TCAM证书是否安装成功</t>
  </si>
  <si>
    <t>1.成功连接TCAM
2.解锁L7成功
3.tester显示安装成功
4.TCAM 03证书安装成功</t>
  </si>
  <si>
    <t>基础架构_数字安全_VIN 链接证书管理_005</t>
  </si>
  <si>
    <t>数字证书安装_TCAM_004</t>
  </si>
  <si>
    <t>1. Tester连接TCAM
2. 解锁L7
3.证书安装 04
4.查看TCAM证书是否安装成功</t>
  </si>
  <si>
    <t>1.成功连接TCAM
2.解锁L7成功
3.tester显示安装成功
4.TCAM 04证书安装成功</t>
  </si>
  <si>
    <t>基础架构_数字安全_VIN 链接证书管理_006</t>
  </si>
  <si>
    <t>整车环境类型一致_001</t>
  </si>
  <si>
    <t>1. Tester连接TCAM
2. 解锁L7
3.证书安装 04
4.查看TCAM证书是否安装成功
5.查看prop环境标志是否存在</t>
  </si>
  <si>
    <t>1.成功连接TCAM
2.解锁L7成功
3.tester显示安装成功
4.TCAM 04证书安装成功
5. ENV：xxx</t>
  </si>
  <si>
    <t>基础架构_数字安全_VIN 链接证书管理_007</t>
  </si>
  <si>
    <t>数字证书安装_TCAM_005</t>
  </si>
  <si>
    <t>1. Tester连接TCAM
2. 解锁L7
3.证书安装 0x11
4.查看TCAM证书是否安装成功</t>
  </si>
  <si>
    <t>1.成功连接TCAM
2.解锁L7成功
3.tester显示安装成功
4.TCAM 0x11证书安装成功</t>
  </si>
  <si>
    <t>基础架构_数字安全_VIN 链接证书管理_008</t>
  </si>
  <si>
    <t>数字证书安装_TCAM_006</t>
  </si>
  <si>
    <t>1. Tester连接TCAM
2. 解锁L7
3.证书安装 0x12
4.查看TCAM证书是否安装成功</t>
  </si>
  <si>
    <t>1.成功连接TCAM
2.解锁L7成功
3.tester显示安装成功
4.TCAM 0x12证书安装成功</t>
  </si>
  <si>
    <t>基础架构_数字安全_VIN 链接证书管理_009</t>
  </si>
  <si>
    <t>数字证书安装_TCAM_007</t>
  </si>
  <si>
    <t>1. Tester连接TCAM
2. 解锁L7
3.证书安装 0x21
4.查看TCAM证书是否安装成功</t>
  </si>
  <si>
    <t>1.成功连接TCAM
2.解锁L7成功
3.tester显示安装成功
4.TCAM 0x21证书安装成功</t>
  </si>
  <si>
    <t>基础架构_数字安全_VIN 链接证书管理_010</t>
  </si>
  <si>
    <t>数字证书安装_TCAM_008</t>
  </si>
  <si>
    <t>1. Tester连接TCAM
2. 解锁L7
3.证书安装 0x22
4.查看TCAM证书是否安装成功</t>
  </si>
  <si>
    <t>1.成功连接TCAM
2.解锁L7成功
3.tester显示安装成功
4.TCAM 0x22证书安装成功</t>
  </si>
  <si>
    <t>基础架构_数字安全_VIN 链接证书管理_011</t>
  </si>
  <si>
    <t>数字证书安装_TCAM_009</t>
  </si>
  <si>
    <t>1. Tester连接TCAM
2. 解锁L7
3.证书安装 FF 吊销
4.查看TCAM证书是否吊销成功</t>
  </si>
  <si>
    <t>1.成功连接TCAM
2.解锁L7成功
3.tester显示安装成功
4.TCAM FF证书吊销成功(04安装证书被删除)</t>
  </si>
  <si>
    <t>DPMS-7359</t>
  </si>
  <si>
    <t>基础架构_数字安全_整车环境管理_012</t>
  </si>
  <si>
    <t>整车环境类型一致_002</t>
  </si>
  <si>
    <t>1. Tester连接TCAM
2. 解锁L7
3.证书安装 FF 吊销
4.查看TCAM证书是否吊销成功
5.查看prop环境标志是否是NONE</t>
  </si>
  <si>
    <t>1.成功连接TCAM
2.解锁L7成功
3.tester显示安装成功
4.TCAM FF证书吊销成功(04安装证书被删除)
5. ENV：NONE</t>
  </si>
  <si>
    <t>DPMS-14431</t>
  </si>
  <si>
    <t>基础架构_数字安全_ VIN与VID映射管理_013</t>
  </si>
  <si>
    <t>VIN与VID映射管理_001</t>
  </si>
  <si>
    <t>1. Tester连接TCAM
2. 解锁L7
3. 写VID</t>
  </si>
  <si>
    <t>1.连接成功TCAM
2.解锁L7成功
3.VID写成功</t>
  </si>
  <si>
    <t>DPMS-11300</t>
  </si>
  <si>
    <t>基础架构_数字安全_ 整车环境管理 _014</t>
  </si>
  <si>
    <t>整车环境管理_001</t>
  </si>
  <si>
    <t>1.BGM正常启动
2. TCAM正常启动</t>
  </si>
  <si>
    <t>1. 诊断仪连接TCAM
2.安装证书
3.查看BGM与TCAM证书环境是否一致</t>
  </si>
  <si>
    <t>1.连接成功BGM
2.证书安装成功
3.BGM、TCAM证书环境一致</t>
  </si>
  <si>
    <t>BGM/TCAM</t>
  </si>
  <si>
    <t>基础架构_数字安全_VIN 链接证书管理_015</t>
  </si>
  <si>
    <t>数字证书颁发_001</t>
  </si>
  <si>
    <t>1.BGM/TCAM正常启动</t>
  </si>
  <si>
    <t>1.诊断读BGM SN，VIN
2.诊断读TCAM SN，ICCID</t>
  </si>
  <si>
    <t>1. BGM支持读SN，VIN
2. TCAM支持读SN 、ICCID</t>
  </si>
  <si>
    <t>DPMS-7351</t>
  </si>
  <si>
    <t>软件变更_数字安全_VID管理_016</t>
  </si>
  <si>
    <t>VID管理_001</t>
  </si>
  <si>
    <t>1. tester连接TCAM
2.tester进入ECU扩展会话，解锁L7
3.VID写入</t>
  </si>
  <si>
    <t>1.tester连接成功TCAM
2. 解锁L7成功
3.VID写入成功</t>
  </si>
  <si>
    <t>DPMS-17473</t>
  </si>
  <si>
    <t>软件变更_数字安全_VID管理_017</t>
  </si>
  <si>
    <t>VID管理_003</t>
  </si>
  <si>
    <t>1. tester连接TCAM
2.tester进入ECU扩展会话，解锁L5
3.VID读取</t>
  </si>
  <si>
    <t>1.tester连接成功TCAM
2. 解锁L5成功
3.VID读取成功</t>
  </si>
  <si>
    <t>基础架构_数字安全_安全通信_018</t>
  </si>
  <si>
    <t>云端通信_001</t>
  </si>
  <si>
    <t>1. TCAM正常启动
2. TCAM安装证书</t>
  </si>
  <si>
    <t xml:space="preserve">
1.adb 进入TCAM， 脚本写入VID
2. 通过查询log观察是否连接云端tail -f EM.log | grep v2t</t>
  </si>
  <si>
    <t>1.VID写入成功
2. 云端连接成功</t>
  </si>
  <si>
    <t>DPMS-14406</t>
  </si>
  <si>
    <t>基础架构_数字安全_安全通信_019</t>
  </si>
  <si>
    <t>传输层安全加密_001</t>
  </si>
  <si>
    <t>1.TCAM正常启动
2. TCAM安装证书</t>
  </si>
  <si>
    <t>1.adb 进入TCAM，通过查询log观察是否连接云端
tail -f EM.log | grep v2t
2.tcpdump -i rmnet_data0 -vvv -w 01.pcap 抓包</t>
  </si>
  <si>
    <t>1.日志显示TCAM连接云端成功
2.wireshark解析出报文中有TLS协议</t>
  </si>
  <si>
    <t>软件变更_数字安全_证书密钥初始化_020</t>
  </si>
  <si>
    <t>默认VID_001</t>
  </si>
  <si>
    <t>1.TCAM版本刷写完成</t>
  </si>
  <si>
    <t>1. PC连通TCAM，通过诊断读取TCAM vid</t>
  </si>
  <si>
    <t>1. 读到的VID为32位F</t>
  </si>
  <si>
    <t>DPMS-16246</t>
  </si>
  <si>
    <t>软件变更_数字安全_预置根证书_021</t>
  </si>
  <si>
    <t>根证书预置_001</t>
  </si>
  <si>
    <t>1. PC连通TCAM,查看证书预置路径:/oemapp/etc/certificate/</t>
  </si>
  <si>
    <t>1.存在rootCA.crt，大小为615字节</t>
  </si>
  <si>
    <t>DPMS-20725</t>
  </si>
  <si>
    <t>软件变更_数字安全_预置SK_022</t>
  </si>
  <si>
    <t>ECU SK证书预置_001</t>
  </si>
  <si>
    <t>1. PC连通TCAM,查看证书预置路径 ：/oemapp/etc/certificate/</t>
  </si>
  <si>
    <t>1.存在TCAMSk.key，大小为1217字节</t>
  </si>
  <si>
    <t>架构基础/网络架构/以太网通信</t>
  </si>
  <si>
    <t>架构基础_网路架构_以太网网络_001</t>
  </si>
  <si>
    <t>TCAM_VLAN5_1</t>
  </si>
  <si>
    <t>1. TCAM启动
2.TCAM通过radmoon以太网线连接PC</t>
  </si>
  <si>
    <t>1. 设置PC端VLAN5网络IP 172.16.5.1, ether 02:00:00:00:10:01
2. 在PC端执行命令ping172.16.5.31</t>
  </si>
  <si>
    <t>1. PC端可以ping通TCAM</t>
  </si>
  <si>
    <t>DPMS-15690</t>
  </si>
  <si>
    <t>架构基础_网路架构_以太网网络_002</t>
  </si>
  <si>
    <t>TCAM_VLAN5_2</t>
  </si>
  <si>
    <t>1. 设置PC端VLAN5网络IP 172.16.5.2, ether 02:00:00:00:10:02
2. 在PC端执行命令ping172.16.5.31</t>
  </si>
  <si>
    <t>架构基础_网路架构_以太网网络_003</t>
  </si>
  <si>
    <t>TCAM_VLAN5_11</t>
  </si>
  <si>
    <t>1. 设置PC端VLAN5网络IP 172.16.5.11, ether 02:00:00:00:10:11
2. 在PC端执行命令ping172.16.5.31</t>
  </si>
  <si>
    <t>架构基础_网路架构_以太网网络_004</t>
  </si>
  <si>
    <t>TCAM_VLAN5_13</t>
  </si>
  <si>
    <t>1. 设置PC端VLAN5网络IP 172.16.5.13, ether 02:00:00:00:10:13
2. 在PC端执行命令ping172.16.5.31</t>
  </si>
  <si>
    <t>架构基础_网路架构_以太网网络_005</t>
  </si>
  <si>
    <t>TCAM_VLAN5_21</t>
  </si>
  <si>
    <t>1. 设置PC端VLAN5网络IP 172.16.5.21, ether 02:00:00:00:10:21
2. 在PC端执行命令ping172.16.5.31</t>
  </si>
  <si>
    <t>架构基础_网路架构_以太网网络_006</t>
  </si>
  <si>
    <t>TCAM_VLAN5_23</t>
  </si>
  <si>
    <t>1. 设置PC端VLAN5网络IP 172.16.5.23, ether 02:00:00:00:10:23
2. 在PC端执行命令ping172.16.5.31</t>
  </si>
  <si>
    <t>架构基础_网路架构_以太网网络_007</t>
  </si>
  <si>
    <t>TCAM_VLAN11_1</t>
  </si>
  <si>
    <t>1. 设置PC端VLAN11网络IP 172.16.11.1, ether 02:00:00:00:10:01
2. 在PC端执行命令ping172.16.11.31</t>
  </si>
  <si>
    <t>架构基础_网路架构_以太网网络_008</t>
  </si>
  <si>
    <t>TCAM_VLAN11_11</t>
  </si>
  <si>
    <t>1. 设置PC端VLAN11网络IP 172.16.11.11, ether 02:00:00:00:10:11
2. 在PC端执行命令ping172.16.11.31</t>
  </si>
  <si>
    <t>架构基础_网路架构_以太网网络_009</t>
  </si>
  <si>
    <t>TCAM_VLAN11_13</t>
  </si>
  <si>
    <t>1. 设置PC端VLAN11网络IP 172.16.11.13, ether 02:00:00:00:10:13
2. 在PC端执行命令ping172.16.11.31</t>
  </si>
  <si>
    <t>架构基础_网路架构_以太网网络_010</t>
  </si>
  <si>
    <t>TCAM_VLAN11_21</t>
  </si>
  <si>
    <t>1. 设置PC端VLAN11网络IP 172.16.11.21, ether 02:00:00:00:10:21
2. 在PC端执行命令ping172.16.11.31</t>
  </si>
  <si>
    <t>架构基础_网路架构_以太网网络_011</t>
  </si>
  <si>
    <t>TCAM_VLAN11_23</t>
  </si>
  <si>
    <t>1. 设置PC端VLAN11网络IP 172.16.11.23, ether 02:00:00:00:10:23
2. 在PC端执行命令ping172.16.11.31</t>
  </si>
  <si>
    <t>架构基础_网路架构_以太网网络_012</t>
  </si>
  <si>
    <t>TCAM_VLAN30_11</t>
  </si>
  <si>
    <t>1. 设置PC端VLAN30网络IP 172.16.30.11, ether 02:00:00:00:10:11
2. 在PC端执行命令ping172.16.30.31</t>
  </si>
  <si>
    <t>架构基础_网路架构_以太网网络_013</t>
  </si>
  <si>
    <t>TCAM_VLAN30_13</t>
  </si>
  <si>
    <t>1. 设置PC端VLAN30网络IP 172.16.30.13, ether 02:00:00:00:10:13
2. 在PC端执行命令ping172.16.30.31</t>
  </si>
  <si>
    <t>架构基础_网路架构_以太网网络_014</t>
  </si>
  <si>
    <t>TCAM_VLAN31_21</t>
  </si>
  <si>
    <t>1. 设置PC端VLAN31网络IP 172.16.31.21, ether 02:00:00:00:10:21
2. 在PC端执行命令ping172.16.31.31</t>
  </si>
  <si>
    <t>架构基础_网路架构_以太网网络_015</t>
  </si>
  <si>
    <t>TCAM_VLAN31_23</t>
  </si>
  <si>
    <t>1. 设置PC端VLAN31网络IP 172.16.31.23, ether 02:00:00:00:10:23
2. 在PC端执行命令ping172.16.31.31</t>
  </si>
  <si>
    <t>架构基础_网路架构_以太网网络_016</t>
  </si>
  <si>
    <t>TCAM_VLAN32_1</t>
  </si>
  <si>
    <t>1. 设置PC端VLAN32网络 172.16.32.1, ether 02:00:00:00:10:01
2. 在PC端执行命令ping172.16.32.31</t>
  </si>
  <si>
    <t>架构基础_网路架构_以太网网络_017</t>
  </si>
  <si>
    <t>TCAM_VLAN32_11</t>
  </si>
  <si>
    <t>1. 设置PC端VLAN32网络 172.16.32.11, ether 02:00:00:00:10:11
2. 在PC端执行命令ping172.16.32.31</t>
  </si>
  <si>
    <t>架构基础_网路架构_以太网网络_018</t>
  </si>
  <si>
    <t>TCAM_VLAN32_13</t>
  </si>
  <si>
    <t>1. 设置PC端VLAN32网络 172.16.32.13, ether 02:00:00:00:10:13
2. 在PC端执行命令ping172.16.32.31</t>
  </si>
  <si>
    <t>架构基础_网路架构_以太网网络_019</t>
  </si>
  <si>
    <t>TCAM_VLAN32_21</t>
  </si>
  <si>
    <t>1. 设置PC端VLAN32网络 172.16.31.21, ether 02:00:00:00:10:21
2. 在PC端执行命令ping172.16.32.31</t>
  </si>
  <si>
    <t>架构基础_网路架构_以太网网络_020</t>
  </si>
  <si>
    <t>TCAM_VLAN32_23</t>
  </si>
  <si>
    <t>1. 设置PC端VLAN32网络 172.16.32.23, ether 02:00:00:00:10:23
2. 在PC端执行命令ping172.16.32.31</t>
  </si>
  <si>
    <t>架构基础_网路架构_以太网网络_021</t>
  </si>
  <si>
    <t>TCAM_VLAN9_1</t>
  </si>
  <si>
    <t>1. 设置PC端VLAN9网络 172.16.9.1, ether 02:00:00:00:10:01
2. 在PC端执行命令ping172.16.9.31</t>
  </si>
  <si>
    <t>架构基础_网路架构_以太网网络_022</t>
  </si>
  <si>
    <t>TCAM_VLAN9_2</t>
  </si>
  <si>
    <t>1. 设置PC端VLAN9网络 172.16.9.2, ether 02:00:00:00:10:02
2. 在PC端执行命令ping172.16.9.31</t>
  </si>
  <si>
    <t>架构基础_网路架构_以太网网络_023</t>
  </si>
  <si>
    <t>TCAM_VLAN9_11</t>
  </si>
  <si>
    <t>1. 设置PC端VLAN9网络 172.16.9.11, ether 02:00:00:00:10:11
2. 在PC端执行命令ping172.16.9.31</t>
  </si>
  <si>
    <t>架构基础_网路架构_以太网网络_024</t>
  </si>
  <si>
    <t>TCAM_VLAN9_12</t>
  </si>
  <si>
    <t>1. 设置PC端VLAN9网络 172.16.9.12, ether 02:00:00:00:10:12
2. 在PC端执行命令ping172.16.9.31</t>
  </si>
  <si>
    <t>架构基础_网路架构_以太网网络_025</t>
  </si>
  <si>
    <t>TCAM_VLAN9_13</t>
  </si>
  <si>
    <t>1. 设置PC端VLAN9网络 172.16.9.13, ether 02:00:00:00:10:13
2. 在PC端执行命令ping172.16.9.31</t>
  </si>
  <si>
    <t>架构基础_网路架构_以太网网络_026</t>
  </si>
  <si>
    <t>TCAM_VLAN9_21</t>
  </si>
  <si>
    <t>1. 设置PC端VLAN9网络 172.16.9.21, ether 02:00:00:00:10:21
2. 在PC端执行命令ping172.16.9.31</t>
  </si>
  <si>
    <t>架构基础_网路架构_以太网网络_027</t>
  </si>
  <si>
    <t>TCAM_VLAN9_23</t>
  </si>
  <si>
    <t>1. 设置PC端VLAN9网络 172.16.9.23, ether 02:00:00:00:10:23
2. 在PC端执行命令ping172.16.9.31</t>
  </si>
  <si>
    <t>架构基础_网路架构_以太网网络_028</t>
  </si>
  <si>
    <t>TCAM_VLAN9_25</t>
  </si>
  <si>
    <t>1. 设置PC端VLAN9网络 172.16.9.25, ether 02:00:00:00:10:25
2. 在PC端执行命令ping172.16.9.31</t>
  </si>
  <si>
    <t>架构基础_网路架构_以太网网络_029</t>
  </si>
  <si>
    <t>TCAM_VLAN9_26</t>
  </si>
  <si>
    <t>1. 设置PC端VLAN9网络 172.16.9.26, ether 02:00:00:00:10:26
2. 在PC端执行命令ping172.16.9.31</t>
  </si>
  <si>
    <t>架构基础_网路架构_以太网网络_030</t>
  </si>
  <si>
    <t>TCAM_VLAN9_27</t>
  </si>
  <si>
    <t>1. 设置PC端VLAN9网络 172.16.9.27, ether 02:00:00:00:10:27
2. 在PC端执行命令ping172.16.9.31</t>
  </si>
  <si>
    <t>架构基础/GNSS</t>
  </si>
  <si>
    <t>TCAM GNSS SR_需求汇总_功能需求_001</t>
  </si>
  <si>
    <t>GNSS服务支持数据_FOTA后_周期性01</t>
  </si>
  <si>
    <t>1.TCAM外接有源GNSS天线
2.TCAM刷到测试验证版本
3. 上电</t>
  </si>
  <si>
    <t>1. 重新刷写TCAM到验证版本(模拟升级)
2.下电后重新上电
3. 检查GNSS数据周期频率</t>
  </si>
  <si>
    <t>1. TCAM刷写成功
2. 板子运行正常
3.周期为100ms</t>
  </si>
  <si>
    <t>DPMS-14125</t>
  </si>
  <si>
    <t>TCAM GNSS SR_需求汇总_功能需求_002</t>
  </si>
  <si>
    <t>GNSS服务支持数据_reset TCAM后_周期性02</t>
  </si>
  <si>
    <t xml:space="preserve">
1. 单独reset tcam
2. 检查GNSS数据周期频率</t>
  </si>
  <si>
    <t>1.重启后板子运行正常
2.周期为100ms</t>
  </si>
  <si>
    <t>TCAM GNSS SR_需求汇总_功能需求_003</t>
  </si>
  <si>
    <t>GNSS服务支持数据_插拔天线_周期性03</t>
  </si>
  <si>
    <t>1.TCAM外接有源GNSS天线
2.检查GNSS数据周期频率</t>
  </si>
  <si>
    <t>1. 板子正常运行
2.周期为100ms</t>
  </si>
  <si>
    <t>TCAM GNSS SR_需求汇总_功能需求_004</t>
  </si>
  <si>
    <t>GNSS服务支持数据_持续运行_周期性04</t>
  </si>
  <si>
    <t>1.TCAM刷到测试验证版本
2.TCAM外接有源GNSS天线
3.上电</t>
  </si>
  <si>
    <t>1.持续运行5~10分钟
2.检查GNSS数据周期频率</t>
  </si>
  <si>
    <t>TCAM GNSS SR_需求汇总_功能需求_005</t>
  </si>
  <si>
    <t>GNSS服务支持数据_信号从有到无_周期性05</t>
  </si>
  <si>
    <t>1.TCAM刷到测试验证版本
2.TCAM外接有源GNSS天线&amp;信号无(进入隧道)</t>
  </si>
  <si>
    <t>1. 天线信号从有到弱无</t>
  </si>
  <si>
    <t>1.数据不在更新</t>
  </si>
  <si>
    <t>Vehicle</t>
  </si>
  <si>
    <t>TCAM GNSS SR_需求汇总_功能需求_006</t>
  </si>
  <si>
    <t>GNSS服务支持数据_无信号_周期性06</t>
  </si>
  <si>
    <t>1.TCAM刷到测试验证版本
2.TCAM外接有源GNSS天线&amp;无信号(隧道中)</t>
  </si>
  <si>
    <t>1.天线信号无信号</t>
  </si>
  <si>
    <t>TCAM GNSS SR_需求汇总_功能需求_007</t>
  </si>
  <si>
    <t>GNSS服务支持数据_信号从无到有_周期性07</t>
  </si>
  <si>
    <t>1.TCAM刷到测试验证版本
2.TCAM外接有源GNSS天线&amp;信号从无到有(热启动)</t>
  </si>
  <si>
    <t>1.天线信号从无到有，其中无信号时间多于半小时，少于2小时(例如空旷地方升级，商城吃饭时车停在地下车库)</t>
  </si>
  <si>
    <t>1.数据周期从不更新到100ms</t>
  </si>
  <si>
    <t>TCAM GNSS SR_需求汇总_功能需求_008</t>
  </si>
  <si>
    <t>GNSS服务支持数据_信号从无到有_周期性08</t>
  </si>
  <si>
    <t>1.TCAM刷到测试验证版本
2.TCAM外接有源GNSS天线&amp;信号从无到有(冷启动)</t>
  </si>
  <si>
    <t>1.天线信号从无到有，其中无信号时间多于2小时(停车一晚后启动车辆)</t>
  </si>
  <si>
    <t>TCAM GNSS SR_需求汇总_功能需求_009</t>
  </si>
  <si>
    <t>GNSS服务支持数据_FOTA后_数据验证01</t>
  </si>
  <si>
    <t>1. 重新刷写TCAM到验证版本(模拟升级)
2.下电后重新上电
3. 检查GNSS数据类型及数据准确性</t>
  </si>
  <si>
    <t>1. TCAM刷写成功
2. 板子运行正常
3.输出数据符合校验规则</t>
  </si>
  <si>
    <t>TCAM GNSS SR_需求汇总_功能需求_010</t>
  </si>
  <si>
    <t>GNSS服务支持数据_reset TCAM后_数据验证02</t>
  </si>
  <si>
    <t xml:space="preserve">
1. 单独reset tcam
2. 检查GNSS数据类型及数据准确性</t>
  </si>
  <si>
    <t>1.重启后板子运行正常
2.输出数据符合校验规则</t>
  </si>
  <si>
    <t>TCAM GNSS SR_需求汇总_功能需求_011</t>
  </si>
  <si>
    <t>GNSS服务支持数据_插拔天线_数据验证03</t>
  </si>
  <si>
    <t>1.TCAM外接有源GNSS天线
2.检查GNSS数据类型及数据准确性</t>
  </si>
  <si>
    <t>1. 板子正常运行
2.输出数据符合校验规则</t>
  </si>
  <si>
    <t>TCAM GNSS SR_需求汇总_功能需求_012</t>
  </si>
  <si>
    <t>GNSS服务支持数据_持续运行_数据验证04</t>
  </si>
  <si>
    <t>1.持续运行5~10分钟
2.检查GNSS数据类型及数据准确性</t>
  </si>
  <si>
    <t>TCAM GNSS SR_需求汇总_功能需求_013</t>
  </si>
  <si>
    <t>GNSS服务支持数据_信号从有到无_数据验证05</t>
  </si>
  <si>
    <t>TCAM GNSS SR_需求汇总_功能需求_014</t>
  </si>
  <si>
    <t>GNSS服务支持数据_无信号_数据验证06</t>
  </si>
  <si>
    <t>TCAM GNSS SR_需求汇总_功能需求_015</t>
  </si>
  <si>
    <t>GNSS服务支持数据_BGMtime_数据验证01</t>
  </si>
  <si>
    <t>1.TCAM刷到测试验证版本
2.TCAM外接有源GNSS天线</t>
  </si>
  <si>
    <t>1.SSH 进入BGM，输入date</t>
  </si>
  <si>
    <t>1.输出当前UTC时间</t>
  </si>
  <si>
    <t>架构基础/网络架构/DoIP</t>
  </si>
  <si>
    <t>BaseTech_NetwaorkArchitecture_Diag_0001</t>
  </si>
  <si>
    <t>UDS_SessionControl(0x10)_DedaultSession</t>
  </si>
  <si>
    <t>DPMS-5678, DPMS-5676, DPMS-5715,DPMS-5710</t>
  </si>
  <si>
    <t>v0.4</t>
  </si>
  <si>
    <t>BaseTech_NetwaorkArchitecture_Diag_0002</t>
  </si>
  <si>
    <t>UDS_SessionControl(0x10)_ProgrammingSession</t>
  </si>
  <si>
    <t>1. Tester发送请求进入ProgrammingSession: 10 02
2. Tester发送请求进入ProgrammingSession: 10 02
3. Tester发送请求进入DefaultSession: 10 01
4. Tester发送请求进入ProgrammingSession: 10 02
5. Tester发送请求进入ExtendedSession: 10 03</t>
  </si>
  <si>
    <t>1.肯定响应： 50 02
2.肯定响应： 50 02
3.肯定响应： 50 01
4.肯定响应： 50 02
5.否定响应：7F 10 12</t>
  </si>
  <si>
    <t>BaseTech_NetwaorkArchitecture_Diag_0003</t>
  </si>
  <si>
    <t>UDS_SessionControl(0x10)_ExtendedProgrammingSession</t>
  </si>
  <si>
    <t>1. Tester发送请求进入ExtendedSession: 10 03
2. Tester发送请求进入ExtendedSession: 10 03
3. Tester发送请求进入DefaultSession: 10 01
4. Tester发送请求进入ExtendedSession: 10 03
5. Tester发送请求进入ProgrammingSession: 10 02</t>
  </si>
  <si>
    <t>1.肯定响应： 50 03
2.肯定响应： 50 03
3.肯定响应： 50 01
4.肯定响应： 50 03
5.肯定响应： 50 02</t>
  </si>
  <si>
    <t>BaseTech_NetwaorkArchitecture_Diag_0004</t>
  </si>
  <si>
    <t>UDS_EcuReset(0x11)_HardReset</t>
  </si>
  <si>
    <t>1. Tester发送请求:11 01
2. Tester发送请求:10 03
3. Tester发送请求:22 F1 86
4. Tester发送请求:11 01
5. Tester发送请求:22 F1 86</t>
  </si>
  <si>
    <t>1.肯定响应： 51 01，返回default session,不重启
2. 肯定响应： 50 03
3. 肯定响应：62 F1 86 03
4.肯定响应： 51 01，返回default session,不重启
5. 肯定响应：62 F1 86 01</t>
  </si>
  <si>
    <t>BaseTech_NetwaorkArchitecture_Diag_0005</t>
  </si>
  <si>
    <t>UDS_EcuReset(0x11)_SoftReset</t>
  </si>
  <si>
    <t>1. Tester发送请求:11 03
2. Tester发送请求:10 03
3. Tester发送请求:11 03
4. Tester发送请求:10 02
5. Tester发送请求:11 03</t>
  </si>
  <si>
    <t>1.否定响应： 7F 11 12
2.肯定响应： 50 03
3.否定响应：7F 11 12
4.肯定响应： 50 02
5.肯定响应： 51 03，ECU重启</t>
  </si>
  <si>
    <t>v0.5</t>
  </si>
  <si>
    <t>BaseTech_NetwaorkArchitecture_Diag_0008</t>
  </si>
  <si>
    <t>1. Tester发送请求:11 81
2. Tester发送请求:10 03
3. Tester发送请求:22 F1 86
4. Tester发送请求:11 81
5. Tester发送请求:22 F1 86
6. Tester发送请求:10 02
7. Tester发送请求:11 81
8. Tester发送请求:22 F1 86</t>
  </si>
  <si>
    <t>1. ECU不回复，ECU回到default session
2.肯定响应： 50 03
3. 肯定响应：62 F1 86 03
4. ECU不回复，ECU回到default seesion
5.肯定响应：62 F1 86 03
6.肯定响应： 50 02
7.ECU不回复，ECU回到default session
8.肯定响应：62 F1 86 02</t>
  </si>
  <si>
    <t>BaseTech_NetwaorkArchitecture_Diag_0009</t>
  </si>
  <si>
    <t>UDS_SecurityAccess(0x27)_level1</t>
  </si>
  <si>
    <t>1. Tester发送请求:27 01
2. Tester发送请求:10 03
3. Tester发送请求:27 01
4. Tester发送请求:10 02
5. Tester发送请求:27 01
6. Tester发送请求:27 02 k1 k2 k3</t>
  </si>
  <si>
    <t>1.否定响应：7F 27 12
2.肯定响应： 50 03
3.否定响应：7F 27 12
4.肯定响应： 50 02
5.肯定响应： 67 01 s1 s2 s3
6.肯定响应： 67 02 k1 k2 k3</t>
  </si>
  <si>
    <t>BaseTech_NetwaorkArchitecture_Diag_0010</t>
  </si>
  <si>
    <t>UDS_SecurityAccess(0x27)_level5</t>
  </si>
  <si>
    <t>1. Tester发送请求:27 05
2. Tester发送请求:10 02
3. Tester发送请求:27 05
4. Tester发送请求:10 01
5.Tester发送请求:10 03
6. Tester发送请求:27 05
7. Tester发送请求:27 06 k1 k2 k4</t>
  </si>
  <si>
    <t>1.否定响应：7F 27 12
2.肯定响应： 50 02
3.否定响应：7F 27 12
4.肯定响应： 50 01
5.肯定响应： 50 03
6.肯定响应： 67 05 s1 s2 s3
7.肯定响应： 67 06 k1 k2 k4</t>
  </si>
  <si>
    <t>BaseTech_NetwaorkArchitecture_Diag_0012</t>
  </si>
  <si>
    <t>UDS_SecurityAccess(0x27)_level11</t>
  </si>
  <si>
    <t>1. Tester发送请求:27 11
2. Tester发送请求:10 02
3. Tester发送请求:27 11
4. Tester发送请求:10 01
5.Tester发送请求:10 03
6. Tester发送请求:27 11
7. Tester发送请求:27 12 k1 k2 k6</t>
  </si>
  <si>
    <t>1.否定响应：7F 27 12
2.肯定响应： 50 02
3.否定响应：7F 27 12
4.肯定响应： 50 01
5.肯定响应： 50 03
6.肯定响应： 67 11 s1 s2 s3
7.肯定响应： 67 12 k1 k2 k6</t>
  </si>
  <si>
    <t>BaseTech_NetwaorkArchitecture_Diag_0013</t>
  </si>
  <si>
    <t>UDS_ControlDTCSetting(0x85)_DtcMonitoringFunctionIsOn</t>
  </si>
  <si>
    <t>1. Tester发送请求:85 01
2. Tester发送请求:10 02
3. Tester发送请求:85 01
4. Tester发送请求:10 01
5. Tester发送请求:10 03
6. Tester发送请求:85 01</t>
  </si>
  <si>
    <t>1.否定响应：7F 85 7F
2.肯定响应： 50 02
3.否定响应：7F 85 7F
4.肯定响应： 50 01
5.肯定响应： 50 03
6.肯定响应： C5 01</t>
  </si>
  <si>
    <t>P3</t>
  </si>
  <si>
    <t>BaseTech_NetwaorkArchitecture_Diag_0014</t>
  </si>
  <si>
    <t>UDS_ControlDTCSetting(0x85)_DtcMonitoringFunctionIsOff</t>
  </si>
  <si>
    <t>1. Tester发送请求:85 02
2. Tester发送请求:10 02
3. Tester发送请求:85 02
4. Tester发送请求:10 01
5. Tester发送请求:10 03
6. Tester发送请求:85 02</t>
  </si>
  <si>
    <t>1.否定响应：7F 85 7F
2.肯定响应： 50 02
3.否定响应：7F 85 7F
4.肯定响应： 50 01
5.肯定响应： 50 03
6.肯定响应： C5 02</t>
  </si>
  <si>
    <t>BaseTech_NetwaorkArchitecture_Diag_0015</t>
  </si>
  <si>
    <t>UDS_RoutineControl(0x31)_CheckProgrammingPreconditions</t>
  </si>
  <si>
    <t>1. Tester发送请求:31 01 02 06
2. Tester发送请求:10 02
3. Tester发送请求:31 01 02 06
4. Tester发送请求:10 01
5. Tester发送请求:10 03
6. Tester发送请求:31 01 02 06</t>
  </si>
  <si>
    <t>1.肯定响应：71 01 02 04 10 01
2.肯定响应： 50 02
3.否定响应：7F 31 31
4.肯定响应： 50 01
5.肯定响应： 50 03
6.肯定响应： 71 01 02 04 10 01</t>
  </si>
  <si>
    <t>BaseTech_NetwaorkArchitecture_Diag_0016</t>
  </si>
  <si>
    <t>UDS_RoutineControl(0x31)_CheckCompleteAndCompatible</t>
  </si>
  <si>
    <t>1. Tester发送请求:31 01 02 05
2. Tester发送请求:10 03
3. Tester发送请求:31 01 02 05
4. Tester发送请求:10 02
5. Tester发送请求:27 01
6. Tester发送请求:27 02 k1 k2 k3
7. Tester发送请求:31 01 02 05</t>
  </si>
  <si>
    <t>1.否定响应：7F 31 31
2.肯定响应： 50 03
3.否定响应：7F 31 31
4.肯定响应： 50 02
5.肯定响应： 67 01 s1 s2 s3
6.肯定响应：67 02 k1 k2 k3
6.肯定响应： 71 01 02 05 10 00</t>
  </si>
  <si>
    <t>BaseTech_NetwaorkArchitecture_Diag_0017</t>
  </si>
  <si>
    <t>UDS_RoutineControl(0x31)_check memory</t>
  </si>
  <si>
    <t>1. Tester发送请求:10 02
2. Tester发送请求:27 01
3. Tester发送请求:27 02 k1 k2 k3
4. Tester发送请求:31 01 02 12 xx xx …</t>
  </si>
  <si>
    <t>1.肯定响应： 50 02
2.肯定响应： 67 01 s1 s2 s3
3.肯定响应：67 02 k1 k2 k3
4.肯定响应： 71 01 02 12 10 00</t>
  </si>
  <si>
    <t>BaseTech_NetwaorkArchitecture_Diag_0018</t>
  </si>
  <si>
    <t>UDS_RoutineControl(0x31)_Erase Memory</t>
  </si>
  <si>
    <t>1. Tester发送请求:10 02
2. Tester发送请求:27 01
3. Tester发送请求:27 02 k1 k2 k3
4. Tester发送请求:31 01 FF 00</t>
  </si>
  <si>
    <t>1.肯定响应： 50 02
2.肯定响应： 67 01 s1 s2 s3
3.肯定响应：67 02 k1 k2 k3
4.肯定响应： 71 01 FF 00</t>
  </si>
  <si>
    <t>BaseTech_NetwaorkArchitecture_Diag_0019</t>
  </si>
  <si>
    <t>UDS_CommunicationControl(0x28)_EnableRxAndTx(0x01)</t>
  </si>
  <si>
    <t>1. Tester发送请求:28 00 01
2. Tester发送请求:10 02
3. Tester发送请求:28 00 01
4. Tester发送请求:10 01
5. Tester发送请求:10 03
6. Tester发送请求:28 00 01</t>
  </si>
  <si>
    <t>1.否定响应：7F 28 xx
2.肯定响应： 50 02
3.否定响应：7F 28 xx
4.肯定响应： 50 01
5.肯定响应： 50 03
6.肯定响应：68 00</t>
  </si>
  <si>
    <t>v0.5.5</t>
  </si>
  <si>
    <t>BaseTech_NetwaorkArchitecture_Diag_0020</t>
  </si>
  <si>
    <t>UDS_CommunicationControl(0x28)_EnableRxAndTx(0x02)</t>
  </si>
  <si>
    <t>1. Tester发送请求:28 00 02
2. Tester发送请求:10 02
3. Tester发送请求:28 00 02
4. Tester发送请求:10 01
5. Tester发送请求:10 03
6. Tester发送请求:28 00 02</t>
  </si>
  <si>
    <t>BaseTech_NetwaorkArchitecture_Diag_0021</t>
  </si>
  <si>
    <t>UDS_CommunicationControl(0x28)_EnableRxAndTx(0x03)</t>
  </si>
  <si>
    <t>1. Tester发送请求:28 00 03
2. Tester发送请求:10 02
3. Tester发送请求:28 00 03
4. Tester发送请求:10 01
5. Tester发送请求:10 03
6. Tester发送请求:28 00 03</t>
  </si>
  <si>
    <t>BaseTech_NetwaorkArchitecture_Diag_0022</t>
  </si>
  <si>
    <t>UDS_CommunicationControl(0x28)_EnableRxAndDisableTx(0x01)</t>
  </si>
  <si>
    <t>1. Tester发送请求:28 01 01
2. Tester发送请求:10 02
3. Tester发送请求:28 01 01
4. Tester发送请求:10 01
5. Tester发送请求:10 03
6. Tester发送请求:28 01 01
7. 监测ECU发出的CAN message</t>
  </si>
  <si>
    <t>1.否定响应：7F 28 xx
2.肯定响应： 50 02
3.否定响应：7F 28 xx
4.肯定响应： 50 01
5.肯定响应： 50 03
6.肯定响应：68 01
7. 只有NM报文</t>
  </si>
  <si>
    <t>BaseTech_NetwaorkArchitecture_Diag_0023</t>
  </si>
  <si>
    <t>UDS_CommunicationControl(0x28)_EnableRxAndDisableTx(0x02)</t>
  </si>
  <si>
    <t>1. Tester发送请求:28 01 02
2. Tester发送请求:10 02
3. Tester发送请求:28 01 02
4. Tester发送请求:10 01
5. Tester发送请求:10 03
6. Tester发送请求:28 01 02
7. 监测DUT发出的CAN message</t>
  </si>
  <si>
    <t>1.否定响应：7F 28 xx
2.肯定响应： 50 02
3.否定响应：7F 28 xx
4.肯定响应： 50 01
5.肯定响应： 50 03
6.肯定响应：68 01
7. 可以监测到除了NM报文外的其他报文</t>
  </si>
  <si>
    <t>P2</t>
  </si>
  <si>
    <t>BaseTech_NetwaorkArchitecture_Diag_0024</t>
  </si>
  <si>
    <t>UDS_CommunicationControl(0x28)_EnableRxAndDisableTx(0x03)</t>
  </si>
  <si>
    <t>1. Tester发送请求:28 01 03
2. Tester发送请求:10 02
3. Tester发送请求:28 01 03
4. Tester发送请求:10 01
5. Tester发送请求:10 03
6. Tester发送请求:28 01 03
7. 监测DUT发出的CAN message</t>
  </si>
  <si>
    <t>1.否定响应：7F 28 xx
2.肯定响应： 50 02
3.否定响应：7F 28 xx
4.肯定响应： 50 01
5.肯定响应： 50 03
6.肯定响应：68 01
7. DUT没有报文发出</t>
  </si>
  <si>
    <t>BaseTech_NetwaorkArchitecture_Diag_0025</t>
  </si>
  <si>
    <t>UDS_CommunicationControl(0x28)_DisableRxAndEnableTx(0x01)</t>
  </si>
  <si>
    <t>1. Tester发送请求:28 02 01
2. Tester发送请求:10 02
3. Tester发送请求:28 02 01
4. Tester发送请求:10 01
5. Tester发送请求:10 03
6. Tester发送请求:28 02 01
7. 发CAN message给DUT</t>
  </si>
  <si>
    <t>1.否定响应：7F 28 xx
2.肯定响应： 50 02
3.否定响应：7F 28 xx
4.肯定响应： 50 01
5.肯定响应： 50 03
6.肯定响应：68 02
7. DUT只能接收到NM报文</t>
  </si>
  <si>
    <t>BaseTech_NetwaorkArchitecture_Diag_0026</t>
  </si>
  <si>
    <t>UDS_CommunicationControl(0x28)_DisableRxAndEnableTx(0x02)</t>
  </si>
  <si>
    <t>1. Tester发送请求:28 02 02
2. Tester发送请求:10 02
3. Tester发送请求:28 02 02
4. Tester发送请求:10 01
5. Tester发送请求:10 03
6. Tester发送请求:28 02 02
7. 发CAN message给DUT</t>
  </si>
  <si>
    <t>1.否定响应：7F 28 xx
2.肯定响应： 50 02
3.否定响应：7F 28 xx
4.肯定响应： 50 01
5.肯定响应： 50 03
6.肯定响应：68 02
7. DUT只能接收到除NM报文外其他报文</t>
  </si>
  <si>
    <t>BaseTech_NetwaorkArchitecture_Diag_0027</t>
  </si>
  <si>
    <t>UDS_CommunicationControl(0x28)_DisableRxAndEnableTx(0x03)</t>
  </si>
  <si>
    <t>1. Tester发送请求:28 02 03
2. Tester发送请求:10 02
3. Tester发送请求:28 02 03
4. Tester发送请求:10 01
5. Tester发送请求:10 03
6. Tester发送请求:28 02 03
7. 发CAN message给DUT</t>
  </si>
  <si>
    <t>1.否定响应：7F 28 xx
2.肯定响应： 50 02
3.否定响应：7F 28 xx
4.肯定响应： 50 01
5.肯定响应： 50 03
6.肯定响应：68 02
7. DUT无法接收任何报文</t>
  </si>
  <si>
    <t>BaseTech_NetwaorkArchitecture_Diag_0028</t>
  </si>
  <si>
    <t>UDS_CommunicationControl(0x28)_DisableRxAndTx(0x01)</t>
  </si>
  <si>
    <t>1. Tester发送请求:28 03 01
2. Tester发送请求:10 02
3. Tester发送请求:28 03 01
4. Tester发送请求:10 01
5. Tester发送请求:10 03
6. Tester发送请求:28 03 01
7. 发CAN message给DUT
8. 检测DUT发出的报文</t>
  </si>
  <si>
    <t>1.否定响应：7F 28 xx
2.肯定响应： 50 02
3.否定响应：7F 28 xx
4.肯定响应： 50 01
5.肯定响应： 50 03
6.肯定响应：68 02
7. DUT无法接收任何报文
8. DUT无报文发出</t>
  </si>
  <si>
    <t>BaseTech_NetwaorkArchitecture_Diag_0029</t>
  </si>
  <si>
    <t>UDS_CommunicationControl(0x28)_DisableRxAndTx(0x02)</t>
  </si>
  <si>
    <t>1. Tester发送请求:28 03 02
2. Tester发送请求:10 02
3. Tester发送请求:28 03 02
4. Tester发送请求:10 01
5. Tester发送请求:10 03
6. Tester发送请求:28 03 02
7. 发CAN message给DUT
8. 检测DUT发出的报文</t>
  </si>
  <si>
    <t>1.否定响应：7F 28 xx
2.肯定响应： 50 02
3.否定响应：7F 28 xx
4.肯定响应： 50 01
5.肯定响应： 50 03
6.肯定响应：68 03
7. DUT无法接收任何报文
8. DUT无报文发出</t>
  </si>
  <si>
    <t>BaseTech_NetwaorkArchitecture_Diag_0030</t>
  </si>
  <si>
    <t>UDS_CommunicationControl(0x28)_DisableRxAndTx(0x03)</t>
  </si>
  <si>
    <t>1. Tester发送请求:28 03 03
2. Tester发送请求:10 02
3. Tester发送请求:28 03 03
4. Tester发送请求:10 01
5. Tester发送请求:10 03
6. Tester发送请求:28 03 03
7. 发CAN message给DUT
8. 检测DUT发出的报文</t>
  </si>
  <si>
    <t>BaseTech_NetwaorkArchitecture_Diag_0031</t>
  </si>
  <si>
    <t>UDS_ReadDataByIdentifier(0x22)_ActiveDiagSessionDataRecord</t>
  </si>
  <si>
    <t>1. Tester发送: 22 F1 86
2. Tester发送请求:10 02
3. Tester发送请求:22 F1 86
4. Tester发送请求:10 01
5. Tester发送请求:10 03
6. Tester发送请求:22 F1 86</t>
  </si>
  <si>
    <t>1.肯定响应：62 F1 86 01
2.肯定响应： 50 02
3.肯定响应：62 F1 86 02
4.肯定响应： 50 01
5.肯定响应： 50 03
6.肯定响应：62 F1 86 03</t>
  </si>
  <si>
    <t>BaseTech_NetwaorkArchitecture_Diag_0032</t>
  </si>
  <si>
    <t xml:space="preserve">UDS_ReadDataByIdentifier(0x22)_ECUSerialNumber </t>
  </si>
  <si>
    <t>1. Tester发送: 22 F1 8C
2. Tester发送请求:10 02
3. Tester发送请求:22 F1 8C
4. Tester发送请求:10 01
5. Tester发送请求:10 03
6. Tester发送请求:22 F1 8C</t>
  </si>
  <si>
    <t>1.肯定响应：62 F1 8C xx xx ..
2.肯定响应： 50 02
3.肯定响应：62 F1 8C xx xx ..
4.肯定响应： 50 01
5.肯定响应： 50 03
6.肯定响应：62 F1 8C xx xx ..</t>
  </si>
  <si>
    <t>BaseTech_NetwaorkArchitecture_Diag_0033</t>
  </si>
  <si>
    <t>UDS_ReadDataByIdentifier(0x22)_VIN</t>
  </si>
  <si>
    <t>1. Tester发送: 22 F1 90
2. Tester发送请求:10 02
3. Tester发送请求:22 F1 90
4. Tester发送请求:10 01
5. Tester发送请求:10 03
6. Tester发送请求:22 F1 90</t>
  </si>
  <si>
    <t>1.肯定响应：62 F1 90 xx xx ..
2.肯定响应： 50 02
3.否定响应：7F 22 31
4.肯定响应： 50 01
5.肯定响应： 50 03
6.肯定响应：62 F1 90 xx xx ..</t>
  </si>
  <si>
    <t>BaseTech_NetwaorkArchitecture_Diag_0034</t>
  </si>
  <si>
    <t>UDS_ReadDataByIdentifier(0x22)_ApplicationDiagDatabasePartNumber</t>
  </si>
  <si>
    <t>1. Tester发送: 22 F1 A0
2. Tester发送请求:10 02
3. Tester发送请求:22 F1 A0
4. Tester发送请求:10 01
5. Tester发送请求:10 03
6. Tester发送请求:22 F1 A0</t>
  </si>
  <si>
    <t>1.肯定响应：62 F1 A0 xx xx ..
2.肯定响应： 50 02
3.否定响应：7F 22 31
4.肯定响应： 50 01
5.肯定响应： 50 03
6.肯定响应：62 F1 A0 xx xx ..</t>
  </si>
  <si>
    <t>BaseTech_NetwaorkArchitecture_Diag_0035</t>
  </si>
  <si>
    <t>UDS_ReadDataByIdentifier(0x22)_ECUCoreAssemblyPartNumber</t>
  </si>
  <si>
    <t>1. Tester发送: 22 F1 AA
2. Tester发送请求:10 02
3. Tester发送请求:22 F1 AA
4. Tester发送请求:10 01
5. Tester发送请求:10 03
6. Tester发送请求:22 F1 AA</t>
  </si>
  <si>
    <t>1.肯定响应：62 F1 AA xx xx ..
2.肯定响应： 50 02
3.肯定响应：62 F1 AA xx xx ..
4.肯定响应： 50 01
5.肯定响应： 50 03
6.肯定响应：62 F1 AA xx xx ..</t>
  </si>
  <si>
    <t>BaseTech_NetwaorkArchitecture_Diag_0036</t>
  </si>
  <si>
    <t>UDS_ReadDataByIdentifier(0x22)_ECUDeliveryAssemblyPartNumber</t>
  </si>
  <si>
    <t>1. Tester发送: 22 F1 AB
2. Tester发送请求:10 02
3. Tester发送请求:22 F1 AB
4. Tester发送请求:10 01
5. Tester发送请求:10 03
6. Tester发送请求:22 F1 AB</t>
  </si>
  <si>
    <t>1.肯定响应：62 F1 AB xx xx ..
2.肯定响应： 50 02
3.肯定响应：62 F1 AB xx xx ..
4.肯定响应： 50 01
5.肯定响应： 50 03
6.肯定响应：62 F1 AB xx xx ..</t>
  </si>
  <si>
    <t>BaseTech_NetwaorkArchitecture_Diag_0037</t>
  </si>
  <si>
    <t>UDS_ReadDataByIdentifier(0x22)_ECUSoftwarePartNumbers</t>
  </si>
  <si>
    <t>1. Tester发送: 22 F1 AE
2. Tester发送请求:10 02
3. Tester发送请求:22 F1 AE
4. Tester发送请求:10 01
5. Tester发送请求:10 03
6. Tester发送请求:22 F1 AE</t>
  </si>
  <si>
    <t>1.肯定响应：62 F1 AE xx xx ..
2.肯定响应： 50 02
3.否定响应：7F 22 31
4.肯定响应： 50 01
5.肯定响应： 50 03
6.肯定响应：62 F1 AE xx xx ..</t>
  </si>
  <si>
    <t>BaseTech_NetwaorkArchitecture_Diag_0038</t>
  </si>
  <si>
    <t>UDS_ReadDataByIdentifier(0x22)_MCUVersionNumber</t>
  </si>
  <si>
    <t>1. Tester发送: 22 F1 F0
2. Tester发送请求:10 02
3. Tester发送请求:22 F1 F0
4. Tester发送请求:10 01
5. Tester发送请求:10 03
6. Tester发送请求:22 F1 F0</t>
  </si>
  <si>
    <t>1.肯定响应：62 F1 F0 xx xx ..
2.肯定响应： 50 02
3.否定响应：7F 22 31
4.肯定响应： 50 01
5.肯定响应： 50 03
6.肯定响应：62 F1 F0 xx xx ..</t>
  </si>
  <si>
    <t>BaseTech_NetwaorkArchitecture_Diag_0039</t>
  </si>
  <si>
    <t>UDS_ReadDataByIdentifier(0x22)_MPUVersionNumber</t>
  </si>
  <si>
    <t>1. Tester发送: 22 F1 F1
2. Tester发送请求:10 02
3. Tester发送请求:22 F1 F1
4. Tester发送请求:10 01
5. Tester发送请求:10 03
6. Tester发送请求:22 F1 F1</t>
  </si>
  <si>
    <t>1.肯定响应：62 F1 F1 xx xx ..
2.肯定响应： 50 02
3.否定响应：7F 22 31
4.肯定响应： 50 01
5.肯定响应： 50 03
6.肯定响应：62 F1 F1 xx xx ..</t>
  </si>
  <si>
    <t>BaseTech_NetwaorkArchitecture_Diag_0040</t>
  </si>
  <si>
    <t>UDS_ReadDataByIdentifier(0x22)_CompleteSetOfECUPart/SerialNumbersInAPP</t>
  </si>
  <si>
    <t>1. Tester发送: 22 ED 20
2. Tester发送请求:10 02
3. Tester发送请求:22 ED 20
4. Tester发送请求:10 01
5. Tester发送请求:10 03
6. Tester发送请求:22 ED 20</t>
  </si>
  <si>
    <t>1.否定响应：7F 22 31
2.肯定响应： 50 02
3.肯定响应：62 ED 20 xx ...
4.肯定响应： 50 01
5.肯定响应： 50 03
6.否定响应：7F 22 31</t>
  </si>
  <si>
    <t>BaseTech_NetwaorkArchitecture_Diag_0041</t>
  </si>
  <si>
    <t>UDS_Read/WriteDataByIdentifier(0x22/2E)_PublicKey</t>
  </si>
  <si>
    <t>1. Tester发送: 22 D0 1C, 2E D0 1C
2. Tester发送请求:10 03
3. Tester发送请求:22 D0 1C, 2E D0 1C
4. Tester发送请求:10 02
5. Tester发送请求:27 01
6. Tester发送请求:27 02 k1 k2 k3
7. Tester发送请求:2E D0 1C xx xx ..
8. Tester发送请求:22 D0 1C</t>
  </si>
  <si>
    <t>1.否定响应：7F 22/2E 31
2.肯定响应： 50 03
3.否定响应：7F 22/2E 31
4.肯定响应： 50 02
5.肯定响应： 67 01 s1 s2 s3
6.肯定响应： 67 02 k1 k2 k3
7.肯定响应：6E D0 1C xx xx …
8. 肯定响应：62 D0 1C xx xx …</t>
  </si>
  <si>
    <t>BaseTech_NetwaorkArchitecture_Diag_0042</t>
  </si>
  <si>
    <t>UDS_ReadDataByIdentifier(0x22)_GlobeRealTime</t>
  </si>
  <si>
    <t>1. Tester发送: 22 DD 00
2. Tester发送请求:10 02
3. Tester发送请求:22 DD 00
4. Tester发送请求:10 01
5. Tester发送请求:10 03
6. Tester发送请求:22 DD 00</t>
  </si>
  <si>
    <t>1.肯定响应：62 DD 00 xx xx ..
2.肯定响应： 50 02
3.否定响应：7F 22 31
4.肯定响应： 50 01
5.肯定响应： 50 03
6.肯定响应：62 DD 00 xx xx ..</t>
  </si>
  <si>
    <t>BaseTech_NetwaorkArchitecture_Diag_0043</t>
  </si>
  <si>
    <t>UDS_ReadDataByIdentifier(0x22)_TotalDistance</t>
  </si>
  <si>
    <t>1. Tester发送: 22 DD 01
2. Tester发送请求:10 02
3. Tester发送请求:22 DD 01
4. Tester发送请求:10 01
5. Tester发送请求:10 03
6. Tester发送请求:22 DD 01</t>
  </si>
  <si>
    <t>1.肯定响应：62 DD 01 xx xx ..
2.肯定响应： 50 02
3.否定响应：7F 22 31
4.肯定响应： 50 01
5.肯定响应： 50 03
6.肯定响应：62 DD 01 xx xx ..</t>
  </si>
  <si>
    <t>BaseTech_NetwaorkArchitecture_Diag_0044</t>
  </si>
  <si>
    <t>UDS_ReadDataByIdentifier(0x22)_VehicleBatteryVoltage</t>
  </si>
  <si>
    <t>1. Tester发送: 22 DD 02
2. Tester发送请求:10 02
3. Tester发送请求:22 DD 02
4. Tester发送请求:10 01
5. Tester发送请求:10 03
6. Tester发送请求:22 DD 02</t>
  </si>
  <si>
    <t>1.肯定响应：62 DD 02 xx xx ..
2.肯定响应： 50 02
3.否定响应：7F 22 31
4.肯定响应： 50 01
5.肯定响应： 50 03
6.肯定响应：62 DD 02 xx xx ..</t>
  </si>
  <si>
    <t>BaseTech_NetwaorkArchitecture_Diag_0045</t>
  </si>
  <si>
    <t>UDS_ReadDataByIdentifier(0x22)_UsageMode</t>
  </si>
  <si>
    <t>1. Tester发送: 22 DD 0A
2. Tester发送请求:10 02
3. Tester发送请求:22 DD 0A
4. Tester发送请求:10 01
5. Tester发送请求:10 03
6. Tester发送请求:22 DD 0A</t>
  </si>
  <si>
    <t>1.肯定响应：62 DD 0A xx xx ..
2.肯定响应： 50 02
3.否定响应：7F 22 31
4.肯定响应： 50 01
5.肯定响应： 50 03
6.肯定响应：62 DD 0A xx xx ..</t>
  </si>
  <si>
    <t>BaseTech_NetwaorkArchitecture_Diag_0046</t>
  </si>
  <si>
    <t>UDS_ReadDataByIdentifier(0x22)_EIPowerLevel</t>
  </si>
  <si>
    <t>1. Tester发送: 22 DD 0C
2. Tester发送请求:10 02
3. Tester发送请求:22 DD 0C
4. Tester发送请求:10 01
5. Tester发送请求:10 03
6. Tester发送请求:22 DD 0C</t>
  </si>
  <si>
    <t>1.肯定响应：62 DD 0C xx xx ..
2.肯定响应： 50 02
3.否定响应：7F 22 31
4.肯定响应： 50 01
5.肯定响应： 50 03
6.肯定响应：62 DD 0C xx xx ..</t>
  </si>
  <si>
    <t>BaseTech_NetwaorkArchitecture_Diag_0047</t>
  </si>
  <si>
    <t>UDS_WriteDataByIdentifier(0x2E)_SecurityConstant_Level01</t>
  </si>
  <si>
    <t xml:space="preserve">1. Tester发送: 2E F1 02 xx xx
2. Tester发送请求:10 02
3.Tester发送请求:27 01
4. Tester发送请求:27 02 k1 k2 k3
5. Tester发送请求:2E F1 02 xx xx 
6. Tester发送请求:10 01
7. Tester发送请求:10 03
8. Tester发送请求:2E F1 02 xx xx </t>
  </si>
  <si>
    <t>1.否定响应：7F 2E 31
2.肯定响应： 50 02
3.肯定响应： 67 01 s1 s2 s3
4.肯定响应： 67 02 k1 k2 k3
5.否定响应：6E F1 02 xx xx
6.肯定响应： 50 01
7.肯定响应：50 03
8. 否定响应：7F 2E 31</t>
  </si>
  <si>
    <t>BaseTech_NetwaorkArchitecture_Diag_0048</t>
  </si>
  <si>
    <t>UDS_RoutingControl(0x31)_VehicleFOTAMode</t>
  </si>
  <si>
    <t>1. Tester发送请求:31 01 A1 00 01
2. Tester发送请求:10 03
3. Tester发送请求:31 01 A1 00 01
4. Tester发送请求:10 02
5. Tester发送请求:27 01
6. Tester发送请求:27 02 k1 k2 k3
7. Tester发送请求:31 01 A1 00 01
8. Tester发送请求:31 01 A1 00 02
9. Tester发送请求:31 01 A1 00 03
10. Tester发送请求:31 01 A1 00 04</t>
  </si>
  <si>
    <t>1.否定响应：7F 31 31
2.肯定响应： 50 03
3.否定响应：7F 31 31
4.肯定响应： 50 02
5.肯定响应： 67 01 s1 s2 s3
6.肯定响应：67 02 k1 k2 k3
7.肯定响应： 71 01 A1 00 xx xx
8. 肯定响应： 71 01 A1 00 xx xx
9. 肯定响应： 71 01 A1 00 xx xx
10. 肯定响应： 71 01 A1 00 xx xx</t>
  </si>
  <si>
    <t>BaseTech_NetwaorkArchitecture_Diag_0050</t>
  </si>
  <si>
    <t>UDS_Read/WriteDataByIdentifier(0x22/2E)_RemoteVehicleImmobilizationSecretKey</t>
  </si>
  <si>
    <t xml:space="preserve">1. Tester发送: 2E 40 8F xx xx
2. Tester发送: 22 40 8F 
3. Tester发送请求:10 03
4.Tester发送请求:27 11
5. Tester发送请求:27 12 k1 k2 k3
6. Tester发送请求:22 40 8F 
7. Tester发送请求:2E 40 8F xx xx
8. Tester发送请求:22 40 8F 
9. Tester发送请求:10 01
10. Tester发送请求:10 03
11. Tester发送请求:2E 40 8F xx xx 
12. Tester发送请求:22 40 8F </t>
  </si>
  <si>
    <t>1.否定响应：7F 2E 31
2.否定响应：7F 2E 31
3.肯定响应： 50 03
4.肯定响应： 67 11 s1 s2 s3
5.肯定响应： 67 12 k1 k2 k3
6.肯定响应：62 F1 02 xx xx
7.肯定响应：6E F1 02 xx xx
8.肯定响应：62 F1 02 xx xx
9.肯定响应： 50 01
10.肯定响应：50 03
11. 否定响应：7F 2E 31
12. 否定响应：7F 2E 31</t>
  </si>
  <si>
    <t>BaseTech_NetwaorkArchitecture_Diag_0051</t>
  </si>
  <si>
    <t>UDS_ReadDataByIdentifier(0x22)_TelematicsSIMCardICCNumber</t>
  </si>
  <si>
    <t>1. Tester发送: 22 41 AE
2. Tester发送请求:10 02
3. Tester发送请求:22 41 AE
4. Tester发送请求:10 01
5. Tester发送请求:10 03
6. Tester发送请求:22 41 AE</t>
  </si>
  <si>
    <t>1.肯定响应：62 41 AE xx xx ..
2.肯定响应： 50 02
3.否定响应：7F 22 31
4.肯定响应： 50 01
5.肯定响应： 50 03
6.肯定响应：62 41 AE xx xx ..</t>
  </si>
  <si>
    <t>BaseTech_NetwaorkArchitecture_Diag_0052</t>
  </si>
  <si>
    <t>UDS_ReadDataByIdentifier(0x22)_eSimMSISDNNumberRecord</t>
  </si>
  <si>
    <t>1. Tester发送: 22 90 03
2. Tester发送请求:10 02
3. Tester发送请求:22 90 03
4. Tester发送请求:10 01
5. Tester发送请求:10 03
6. Tester发送请求:22 90 03</t>
  </si>
  <si>
    <t>1.肯定响应：62 90 03 xx xx ..
2.肯定响应： 50 02
3.否定响应：7F 22 31
4.肯定响应： 50 01
5.肯定响应： 50 03
6.肯定响应：62 90 03 xx xx ..</t>
  </si>
  <si>
    <t>BaseTech_NetwaorkArchitecture_Diag_0053</t>
  </si>
  <si>
    <t>UDS_ReadDataByIdentifier(0x22)_MobileModemIMEINumber</t>
  </si>
  <si>
    <t>1. Tester发送: 22 CF 05
2. Tester发送请求:10 02
3. Tester发送请求:22 CF 05
4. Tester发送请求:10 01
5. Tester发送请求:10 03
6. Tester发送请求:22 CF 05</t>
  </si>
  <si>
    <t>1.肯定响应：62 CF 05 xx xx ..
2.肯定响应： 50 02
3.否定响应：7F 22 31
4.肯定响应： 50 01
5.肯定响应： 50 03
6.肯定响应：62 CF 05 xx xx ..</t>
  </si>
  <si>
    <t>BaseTech_NetwaorkArchitecture_Diag_0054</t>
  </si>
  <si>
    <t>UDS_ReadDataByIdentifier(0x22)_HighQuiescentCurrentFaultIdentificationData</t>
  </si>
  <si>
    <t>1. Tester发送: 22 D0 05
2. Tester发送请求:10 02
3. Tester发送请求:22 D0 05
4. Tester发送请求:10 01
5. Tester发送请求:10 03
6. Tester发送请求:22 D0 05</t>
  </si>
  <si>
    <t>1.肯定响应：62 D0 05 xx xx ..
2.肯定响应： 50 02
3.否定响应：7F 22 31
4.肯定响应： 50 01
5.肯定响应： 50 03
6.肯定响应：62 D0 05 xx xx ..</t>
  </si>
  <si>
    <t>BaseTech_NetwaorkArchitecture_Diag_0055</t>
  </si>
  <si>
    <t>UDS_ReadDataByIdentifier(0x22)_swAuthPublicKeyCheckSum</t>
  </si>
  <si>
    <t>1. Tester发送: 22 D0 3A
2. Tester发送请求:10 02
3. Tester发送请求:22 D0 3A
4. Tester发送请求:10 01
5. Tester发送请求:10 03
6. Tester发送请求:22 D0 3A</t>
  </si>
  <si>
    <t>1.肯定响应：62 D0 3A xx xx ..
2.肯定响应： 50 02
3.否定响应：7F 22 31
4.肯定响应： 50 01
5.肯定响应： 50 03
6.肯定响应：62 D0 3A xx xx ..</t>
  </si>
  <si>
    <t>BaseTech_NetwaorkArchitecture_Diag_0056</t>
  </si>
  <si>
    <t>UDS_ReadDataByIdentifier(0x22)_HighQuiescentCurrentFunctionActivation/Deactivation</t>
  </si>
  <si>
    <t>1. Tester发送: 22 D0 9A
2. Tester发送请求:10 02
3. Tester发送请求:22 D0 9A
4. Tester发送请求:10 01
5. Tester发送请求:10 03
6. Tester发送请求:22 D0 9A</t>
  </si>
  <si>
    <t>1.肯定响应：62 D0 9A xx xx ..
2.肯定响应： 50 02
3.否定响应：7F 22 31
4.肯定响应： 50 01
5.肯定响应： 50 03
6.肯定响应：62 D0 9A xx xx ..</t>
  </si>
  <si>
    <t>BaseTech_NetwaorkArchitecture_Diag_0057</t>
  </si>
  <si>
    <t>UDS_ReadDataByIdentifier(0x22)_SDBversion</t>
  </si>
  <si>
    <t>1. Tester发送: 22 D0 B5
2. Tester发送请求:10 02
3. Tester发送请求:22 D0 B5
4. Tester发送请求:10 01
5. Tester发送请求:10 03
6. Tester发送请求:22 D0 B5</t>
  </si>
  <si>
    <t>1.肯定响应：62 D0 B5 xx xx ..
2.肯定响应： 50 02
3.否定响应：7F 22 31
4.肯定响应： 50 01
5.肯定响应： 50 03
6.肯定响应：62 D0 B5 xx xx ..</t>
  </si>
  <si>
    <t>BaseTech_NetwaorkArchitecture_Diag_0058</t>
  </si>
  <si>
    <t>UDS_ReadDataByIdentifier(0x22)_ECUPowerSupplyVoltage</t>
  </si>
  <si>
    <t>1. Tester发送: 22 D1 10
2. Tester发送请求:10 02
3. Tester发送请求:22 D1 10
4. Tester发送请求:10 01
5. Tester发送请求:10 03
6. Tester发送请求:22 D1 10</t>
  </si>
  <si>
    <t>1.肯定响应：62 D1 10 xx xx ..
2.肯定响应： 50 02
3.否定响应：7F 22 31
4.肯定响应： 50 01
5.肯定响应： 50 03
6.肯定响应：62 D1 10 xx xx ..</t>
  </si>
  <si>
    <t>BaseTech_NetwaorkArchitecture_Diag_0059</t>
  </si>
  <si>
    <t>UDS_ReadDataByIdentifier(0x22)_CarMode</t>
  </si>
  <si>
    <t>1. Tester发送: 22 D1 34
2. Tester发送请求:10 02
3. Tester发送请求:22 D1 34
4. Tester发送请求:10 01
5. Tester发送请求:10 03
6. Tester发送请求:22 D1 34</t>
  </si>
  <si>
    <t>1.肯定响应：62 D1 34 xx xx ..
2.肯定响应： 50 02
3.否定响应：7F 22 31
4.肯定响应： 50 01
5.肯定响应： 50 03
6.肯定响应：62 D1 34 xx xx ..</t>
  </si>
  <si>
    <t>BaseTech_NetwaorkArchitecture_Diag_0060</t>
  </si>
  <si>
    <t>UDS_ReadDataByIdentifier(0x22)_EthernetErrorMessageCounterHistory</t>
  </si>
  <si>
    <t>1. Tester发送: 22 D2 30
2. Tester发送请求:10 02
3. Tester发送请求:22 D2 30
4. Tester发送请求:10 01
5. Tester发送请求:10 03
6. Tester发送请求:22 D2 30</t>
  </si>
  <si>
    <t>1.肯定响应：62 D2 30 xx xx ..
2.肯定响应： 50 02
3.否定响应：7F 22 31
4.肯定响应： 50 01
5.肯定响应： 50 03
6.肯定响应：62 D2 30 xx xx ..</t>
  </si>
  <si>
    <t>BaseTech_NetwaorkArchitecture_Diag_0061</t>
  </si>
  <si>
    <t>UDS_ReadDataByIdentifier(0x22)_NetworkManagementHistoryConnectivityCAN</t>
  </si>
  <si>
    <t>1. Tester发送: 22 D2 35
2. Tester发送请求:10 02
3. Tester发送请求:22 D2 35
4. Tester发送请求:10 01
5. Tester发送请求:10 03
6. Tester发送请求:22 D2 35</t>
  </si>
  <si>
    <t>1.肯定响应：62 D2 35 xx xx ..
2.肯定响应： 50 02
3.否定响应：7F 22 31
4.肯定响应： 50 01
5.肯定响应： 50 03
6.肯定响应：62 D2 35 xx xx ..</t>
  </si>
  <si>
    <t>BaseTech_NetwaorkArchitecture_Diag_0062</t>
  </si>
  <si>
    <t>UDS_ReadDataByIdentifier(0x22)_EthernetErrorMessageCounter</t>
  </si>
  <si>
    <t>1. Tester发送: 22 D2 40
2. Tester发送请求:10 02
3. Tester发送请求:22 D2 40
4. Tester发送请求:10 01
5. Tester发送请求:10 03
6. Tester发送请求:22 D2 40</t>
  </si>
  <si>
    <t>1.肯定响应：62 D2 40 xx xx ..
2.肯定响应： 50 02
3.否定响应：7F 22 31
4.肯定响应： 50 01
5.肯定响应： 50 03
6.肯定响应：62 D2 40 xx xx ..</t>
  </si>
  <si>
    <t>BaseTech_NetwaorkArchitecture_Diag_0063</t>
  </si>
  <si>
    <t>UDS_ReadDataByIdentifier(0x22)_EthernetLinkStatus</t>
  </si>
  <si>
    <t>1. Tester发送: 22 D2 50
2. Tester发送请求:10 02
3. Tester发送请求:22 D2 50
4. Tester发送请求:10 01
5. Tester发送请求:10 03
6. Tester发送请求:22 D2 50</t>
  </si>
  <si>
    <t>1.肯定响应：62 D2 50 xx xx ..
2.肯定响应： 50 02
3.否定响应：7F 22 31
4.肯定响应： 50 01
5.肯定响应： 50 03
6.肯定响应：62 D2 50 xx xx ..</t>
  </si>
  <si>
    <t>BaseTech_NetwaorkArchitecture_Diag_0064</t>
  </si>
  <si>
    <t>UDS_ReadDataByIdentifier(0x22)_ExtendedEthernetLinkStatus</t>
  </si>
  <si>
    <t>1. Tester发送: 22 D2 51
2. Tester发送请求:10 02
3. Tester发送请求:22 D2 51
4. Tester发送请求:10 01
5. Tester发送请求:10 03
6. Tester发送请求:22 D2 51</t>
  </si>
  <si>
    <t>1.肯定响应：62 D2 51 xx xx ..
2.肯定响应： 50 02
3.否定响应：7F 22 31
4.肯定响应： 50 01
5.肯定响应： 50 03
6.肯定响应：62 D2 51 xx xx ..</t>
  </si>
  <si>
    <t>BaseTech_NetwaorkArchitecture_Diag_0065</t>
  </si>
  <si>
    <t>UDS_ReadDataByIdentifier(0x22)_SingleQualityIndex</t>
  </si>
  <si>
    <t>1. Tester发送: 22 D2 60
2. Tester发送请求:10 02
3. Tester发送请求:22 D2 60
4. Tester发送请求:10 01
5. Tester发送请求:10 03
6. Tester发送请求:22 D2 60</t>
  </si>
  <si>
    <t>1.肯定响应：62 D2 60 xx xx ..
2.肯定响应： 50 02
3.否定响应：7F 22 31
4.肯定响应： 50 01
5.肯定响应： 50 03
6.肯定响应：62 D2 60 xx xx ..</t>
  </si>
  <si>
    <t>BaseTech_NetwaorkArchitecture_Diag_0066</t>
  </si>
  <si>
    <t>UDS_ReadDataByIdentifier(0x22)_TCAM_Button_input</t>
  </si>
  <si>
    <t>1. Tester发送: 22 D9 00
2. Tester发送请求:10 02
3. Tester发送请求:22 D9 00
4. Tester发送请求:10 01
5. Tester发送请求:10 03
6. Tester发送请求:22 D9 00</t>
  </si>
  <si>
    <t>1.肯定响应：62 D9 00 xx xx ..
2.肯定响应： 50 02
3.否定响应：7F 22 31
4.肯定响应： 50 01
5.肯定响应： 50 03
6.肯定响应：62 D9 00 xx xx ..</t>
  </si>
  <si>
    <t>BaseTech_NetwaorkArchitecture_Diag_0067</t>
  </si>
  <si>
    <t>UDS_ReadDataByIdentifier(0x22)_TCAM_airbag_status</t>
  </si>
  <si>
    <t>1. Tester发送: 22 D9 01
2. Tester发送请求:10 02
3. Tester发送请求:22 D9 01
4. Tester发送请求:10 01
5. Tester发送请求:10 03
6. Tester发送请求:22 D9 01</t>
  </si>
  <si>
    <t>1.肯定响应：62 D9 01 xx xx ..
2.肯定响应： 50 02
3.否定响应：7F 22 31
4.肯定响应： 50 01
5.肯定响应： 50 03
6.肯定响应：62 D9 01 xx xx ..</t>
  </si>
  <si>
    <t>BaseTech_NetwaorkArchitecture_Diag_0068</t>
  </si>
  <si>
    <t>UDS_Read/WriteDataByIdentifier(0x22/2E)_TCAM_output_Status</t>
  </si>
  <si>
    <t xml:space="preserve">1. Tester发送: 2E D9 02 xx xx
2. Tester发送: 22 D9 02 
3. Tester发送请求:10 03
4. Tester发送请求:22 D9 02 
5. Tester发送请求:2E D9 02 xx xx
6. Tester发送请求:22 D9 02 
7. Tester发送请求:10 02
8. Tester发送请求:2E D9 02 xx xx 
9. Tester发送请求:22 D9 02 </t>
  </si>
  <si>
    <t>1.肯定响应：62 D9 02 xx xx
2.肯定响应：62 D9 02 xx xx
3.肯定响应： 50 03
4.肯定响应：62 D9 02 xx xx
5.肯定响应：6E D9 02 xx xx
6.肯定响应：62 D9 02 xx xx
7.肯定响应： 50 02
8. 否定响应：7F 2E 31
9. 否定响应：7F 2E 31</t>
  </si>
  <si>
    <t>BaseTech_NetwaorkArchitecture_Diag_0069</t>
  </si>
  <si>
    <t>UDS_Read/WriteDataByIdentifier(0x22/2E)_CALL_AUTO_ANSWER_TIME</t>
  </si>
  <si>
    <t xml:space="preserve">1. Tester发送: 2E D9 03 xx xx
2. Tester发送: 22 D9 03 
3. Tester发送请求:10 03
4. Tester发送请求:22 D9 03 
5. Tester发送请求:2E D9 03 xx xx
6. Tester发送请求:22 D9 03 
7. Tester发送请求:10 02
8. Tester发送请求:2E D9 03 xx xx 
9. Tester发送请求:22 D9 03 </t>
  </si>
  <si>
    <t>1.肯定响应：62 D9 03 xx xx
2.肯定响应：62 D9 03 xx xx
3.肯定响应： 50 03
4.肯定响应：62 D9 03 xx xx
5.肯定响应：6E D9 03 xx xx
6.肯定响应：62 D9 03 xx xx
7.肯定响应： 50 02
8. 否定响应：7F 2E 31
9. 否定响应：7F 2E 31</t>
  </si>
  <si>
    <t>BaseTech_NetwaorkArchitecture_Diag_0070</t>
  </si>
  <si>
    <t>UDS_Read/WriteDataByIdentifier(0x22/2E)_ECALL_AUTO_DIAL_ATTEMPTS</t>
  </si>
  <si>
    <t xml:space="preserve">1. Tester发送: 2E D9 04 xx xx
2. Tester发送: 22 D9 04 
3. Tester发送请求:10 03
4. Tester发送请求:22 D9 04 
5. Tester发送请求:2E D9 04 xx xx
6. Tester发送请求:22 D9 04 
7. Tester发送请求:10 02
8. Tester发送请求:2E D9 04 xx xx 
9. Tester发送请求:22 D9 04 </t>
  </si>
  <si>
    <t>1.肯定响应：62 D9 04 xx xx
2.肯定响应：62 D9 04 xx xx
3.肯定响应： 50 03
4.肯定响应：62 D9 04 xx xx
5.肯定响应：6E D9 04 xx xx
6.肯定响应：62 D9 04 xx xx
7.肯定响应： 50 02
8. 否定响应：7F 2E 31
9. 否定响应：7F 2E 31</t>
  </si>
  <si>
    <t>BaseTech_NetwaorkArchitecture_Diag_0071</t>
  </si>
  <si>
    <t>UDS_Read/WriteDataByIdentifier(0x22/2E)_CALL_CCFT</t>
  </si>
  <si>
    <t>1. Tester发送: 2E D9 05 xx xx
2. Tester发送: 22 D9 05 
3. Tester发送请求:10 03
4. Tester发送请求:22 D9 05 
5. Tester发送请求:2E D9 05 xx xx
6. Tester发送请求:22 D9 05 
7. Tester发送请求:10 02
8. Tester发送请求:2E D9 05 xx xx 
9. Tester发送请求:22 D9 05</t>
  </si>
  <si>
    <t>1.肯定响应：62 D9 05 xx xx
2.肯定响应：62 D9 05 xx xx
3.肯定响应： 50 03
4.肯定响应：62 D9 05 xx xx
5.肯定响应：6E D9 05 xx xx
6.肯定响应：62 D9 05 xx xx
7.肯定响应： 50 02
8. 否定响应：7F 2E 31
9. 否定响应：7F 2E 31</t>
  </si>
  <si>
    <t>BaseTech_NetwaorkArchitecture_Diag_0072</t>
  </si>
  <si>
    <t>UDS_Read/WriteDataByIdentifier(0x22/2E)_ECALL_DIAL_DURATION</t>
  </si>
  <si>
    <t>1. Tester发送: 2E D9 06 xx xx
2. Tester发送: 22 D9 06 
3. Tester发送请求:10 03
4. Tester发送请求:22 D9 06 
5. Tester发送请求:2E D9 06 xx xx
6. Tester发送请求:22 D9 06 
7. Tester发送请求:10 02
8. Tester发送请求:2E D9 06 xx xx 
9. Tester发送请求:22 D9 06</t>
  </si>
  <si>
    <t>1.肯定响应：62 D9 06 xx xx
2.肯定响应：62 D9 06 xx xx
3.肯定响应： 50 03
4.肯定响应：62 D9 06 xx xx
5.肯定响应：6E D9 06 xx xx
6.肯定响应：62 D9 06 xx xx
7.肯定响应： 50 02
8. 否定响应：7F 2E 31
9. 否定响应：7F 2E 31</t>
  </si>
  <si>
    <t>BaseTech_NetwaorkArchitecture_Diag_0073</t>
  </si>
  <si>
    <t>UDS_Read/WriteDataByIdentifier(0x22/2E)_ECALL_SMS_FALLBACK_NUMBER2</t>
  </si>
  <si>
    <t xml:space="preserve">1. Tester发送: 2E D9 07 xx xx
2. Tester发送: 22 D9 07 
3. Tester发送请求:10 03
4. Tester发送请求:22 D9 07 
5. Tester发送请求:2E D9 07 xx xx
6. Tester发送请求:22 D9 07 
7. Tester发送请求:10 02
8. Tester发送请求:2E D9 07 xx xx 
9. Tester发送请求:22 D9 07 </t>
  </si>
  <si>
    <t>1.肯定响应：62 D9 07 xx xx
2.肯定响应：62 D9 07 xx xx
3.肯定响应： 50 03
4.肯定响应：62 D9 07 xx xx
5.肯定响应：6E D9 07 xx xx
6.肯定响应：62 D9 07 xx xx
7.肯定响应： 50 02
8. 否定响应：7F 2E 31
9. 否定响应：7F 2E 31</t>
  </si>
  <si>
    <t>BaseTech_NetwaorkArchitecture_Diag_0074</t>
  </si>
  <si>
    <t>UDS_Read/WriteDataByIdentifier(0x22/2E)_ECALL_TEST_NUMBER</t>
  </si>
  <si>
    <t xml:space="preserve">1. Tester发送: 2E D9 08 xx xx
2. Tester发送: 22 D9 08 
3. Tester发送请求:10 03
4. Tester发送请求:22 D9 08
5. Tester发送请求:2E D9 08 xx xx
6. Tester发送请求:22 D9 08 
7. Tester发送请求:10 02
8. Tester发送请求:2E D9 08 xx xx 
9. Tester发送请求:22 D9 08 </t>
  </si>
  <si>
    <t>1.肯定响应：62 D9 08 xx xx
2.肯定响应：62 D9 08 xx xx
3.肯定响应： 50 03
4.肯定响应：62 D9 08 xx xx
5.肯定响应：6E D9 08 xx xx
6.肯定响应：62 D9 08 xx xx
7.肯定响应： 50 02
8. 否定响应：7F 2E 31
9. 否定响应：7F 2E 31</t>
  </si>
  <si>
    <t>BaseTech_NetwaorkArchitecture_Diag_0075</t>
  </si>
  <si>
    <t>UDS_Read/WriteDataByIdentifier(0x22/2E)_ECALL_TEST_DIAL_ATTEMPTS</t>
  </si>
  <si>
    <t xml:space="preserve">1. Tester发送: 2E D9 09 xx xx
2. Tester发送: 22 D9 09 
3. Tester发送请求:10 03
4. Tester发送请求:22 D9 09 
5. Tester发送请求:2E D9 09 xx xx
6. Tester发送请求:22 D9 09 
7. Tester发送请求:10 02
8. Tester发送请求:2E D9 09 xx xx 
9. Tester发送请求:22 D9 09 </t>
  </si>
  <si>
    <t>1.肯定响应：62 D9 09 xx xx
2.肯定响应：62 D9 09 xx xx
3.肯定响应： 50 03
4.肯定响应：62 D9 09 xx xx
5.肯定响应：6E D9 09 xx xx
6.肯定响应：62 D9 09 xx xx
7.肯定响应： 50 02
8. 否定响应：7F 2E 31
9. 否定响应：7F 2E 31</t>
  </si>
  <si>
    <t>BaseTech_NetwaorkArchitecture_Diag_0076</t>
  </si>
  <si>
    <t>UDS_Read/WriteDataByIdentifier(0x22/2E)_TEST_MODE_END_DISTANCE</t>
  </si>
  <si>
    <t xml:space="preserve">1. Tester发送: 2E D9 0A xx xx
2. Tester发送: 22 D9 0A 
3. Tester发送请求:10 03
4. Tester发送请求:22 D9 0A 
5. Tester发送请求:2E D9 0A xx xx
6. Tester发送请求:22 D9 0A 
7. Tester发送请求:10 02
8. Tester发送请求:2E D9 0A xx xx 
9. Tester发送请求:22 D9 0A </t>
  </si>
  <si>
    <t>1.肯定响应：62 D9 0A xx xx
2.肯定响应：62 D9 0A xx xx
3.肯定响应： 50 03
4.肯定响应：62 D9 0A xx xx
5.肯定响应：6E D9 0A xx xx
6.肯定响应：62 D9 0A xx xx
7.肯定响应： 50 02
8. 否定响应：7F 2E 31
9. 否定响应：7F 2E 31</t>
  </si>
  <si>
    <t>BaseTech_NetwaorkArchitecture_Diag_0077</t>
  </si>
  <si>
    <t>UDS_Read/WriteDataByIdentifier(0x22/2E)_TEST_REGISTRATION_PERIOD(reserve)</t>
  </si>
  <si>
    <t>1. Tester发送: 2E D9 0B xx xx
2. Tester发送: 22 D9 0B
3. Tester发送请求:10 03
4. Tester发送请求:22 D9 0B
5. Tester发送请求:2E D9 0B xx xx
6. Tester发送请求:22 D9 0B
7. Tester发送请求:10 02
8. Tester发送请求:2E D9 0B xx xx 
9. Tester发送请求:22 D9 0B</t>
  </si>
  <si>
    <t>1.肯定响应：62 D9 0B xx xx
2.肯定响应：62 D9 0B xx xx
3.肯定响应： 50 03
4.肯定响应：62 D9 0B xx xx
5.肯定响应：6E D9 0B xx xx
6.肯定响应：62 D9 0B xx xx
7.肯定响应： 50 02
8. 否定响应：7F 2E 31
9. 否定响应：7F 2E 31</t>
  </si>
  <si>
    <t>BaseTech_NetwaorkArchitecture_Diag_0078</t>
  </si>
  <si>
    <t>UDS_ReadDataByIdentifier(0x22)_SystemSupplierIdentifier</t>
  </si>
  <si>
    <t>1. Tester发送: 22 D9 11
2. Tester发送请求:10 02
3. Tester发送请求:22 D9 11
4. Tester发送请求:10 01
5. Tester发送请求:10 03
6. Tester发送请求:22 D9 11</t>
  </si>
  <si>
    <t>1.肯定响应：62 D9 11 xx xx ..
2.肯定响应： 50 02
3.否定响应：7F 22 31
4.肯定响应： 50 01
5.肯定响应： 50 03
6.肯定响应：62 D9 11 xx xx ..</t>
  </si>
  <si>
    <t>BaseTech_NetwaorkArchitecture_Diag_0079</t>
  </si>
  <si>
    <t>UDS_ReadDataByIdentifier(0x22)_ECUManufacturingDate</t>
  </si>
  <si>
    <t>1. Tester发送: 22 D9 12
2. Tester发送请求:10 02
3. Tester发送请求:22 D9 12
4. Tester发送请求:10 01
5. Tester发送请求:10 03
6. Tester发送请求:22 D9 12</t>
  </si>
  <si>
    <t>1.肯定响应：62 D9 12 xx xx ..
2.肯定响应： 50 02
3.否定响应：7F 22 31
4.肯定响应： 50 01
5.肯定响应： 50 03
6.肯定响应：62 D9 12 xx xx ..</t>
  </si>
  <si>
    <t>BaseTech_NetwaorkArchitecture_Diag_0080</t>
  </si>
  <si>
    <t>UDS_Read/WriteDataByIdentifier(0x22/2E)_ECUInstallationDateDataIdentifier</t>
  </si>
  <si>
    <t xml:space="preserve">1. Tester发送: 2E D9 16 xx xx
2. Tester发送: 22 D9 16
3. Tester发送请求:10 03
4. Tester发送请求:22 D9 16 
5. Tester发送请求:27 05
6. Tester发送请求: 27 06 k1 k2 k3
7. Tester发送请求:2E D9 16 xx xx
8. Tester发送请求:10 02
9. Tester发送请求:2E D9 16 xx xx 
10. Tester发送请求:22 D9 16 </t>
  </si>
  <si>
    <t>1.否定响应：7F 2E 31
2.否定响应：7F 2E 31
3.肯定响应： 50 03
4.肯定响应：62 D9 0B xx xx
5.肯定响应： 67 05 s1 s2 s3
6.肯定响应： 67 06 k1 k2 k3
7.肯定响应：6E D9 0B xx xx
8.肯定响应： 50 02
9. 否定响应：7F 2E 31
10. 否定响应：7F 2E 31</t>
  </si>
  <si>
    <t>BaseTech_NetwaorkArchitecture_Diag_0081</t>
  </si>
  <si>
    <t>UDS_ReadDataByIdentifier(0x22)_international mobile subscriber identification(IMSI)</t>
  </si>
  <si>
    <t>1. Tester发送: 22 D9 17
2. Tester发送请求:10 02
3. Tester发送请求:22 D9 17
4. Tester发送请求:10 01
5. Tester发送请求:10 03
6. Tester发送请求:22 D9 17</t>
  </si>
  <si>
    <t>1.肯定响应：62 D9 17 xx xx ..
2.肯定响应： 50 02
3.否定响应：7F 22 31
4.肯定响应： 50 01
5.肯定响应： 50 03
6.肯定响应：62 D9 17 xx xx ..</t>
  </si>
  <si>
    <t>BaseTech_NetwaorkArchitecture_Diag_0082</t>
  </si>
  <si>
    <t>UDS_ReadDataByIdentifier(0x22)_NAD Temperature</t>
  </si>
  <si>
    <t>1. Tester发送: 22 D9 49
2. Tester发送请求:10 02
3. Tester发送请求:22 D9 49
4. Tester发送请求:10 01
5. Tester发送请求:10 03
6. Tester发送请求:22 D9 49</t>
  </si>
  <si>
    <t>1.肯定响应：62 D9 49 xx xx ..
2.肯定响应： 50 02
3.否定响应：7F 22 31
4.肯定响应： 50 01
5.肯定响应： 50 03
6.肯定响应：62 D9 49 xx xx ..</t>
  </si>
  <si>
    <t>BaseTech_NetwaorkArchitecture_Diag_0083</t>
  </si>
  <si>
    <t>UDS_ReadDataByIdentifier(0x22)_TSP connection status</t>
  </si>
  <si>
    <t>1. Tester发送: 22 D9 9C
2. Tester发送请求:10 02
3. Tester发送请求:22 D9 9C
4. Tester发送请求:10 01
5. Tester发送请求:10 03
6. Tester发送请求:22 D9 9C</t>
  </si>
  <si>
    <t>1.肯定响应：62 D9 9C xx xx ..
2.肯定响应： 50 02
3.否定响应：7F 22 31
4.肯定响应： 50 01
5.肯定响应： 50 03
6.肯定响应：62 D9 9C xx xx ..</t>
  </si>
  <si>
    <t>BaseTech_NetwaorkArchitecture_Diag_0084</t>
  </si>
  <si>
    <t>UDS_ReadDataByIdentifier(0x22)_SIM status</t>
  </si>
  <si>
    <t>1. Tester发送: 22 D9 9D
2. Tester发送请求:10 02
3. Tester发送请求:22 D9 9D
4. Tester发送请求:10 01
5. Tester发送请求:10 03
6. Tester发送请求:22 D9 9D</t>
  </si>
  <si>
    <t>1.肯定响应：62 D9 9D xx xx ..
2.肯定响应： 50 02
3.否定响应：7F 22 31
4.肯定响应： 50 01
5.肯定响应： 50 03
6.肯定响应：62 D9 9D xx xx ..</t>
  </si>
  <si>
    <t>BaseTech_NetwaorkArchitecture_Diag_0085</t>
  </si>
  <si>
    <t>UDS_ReadDataByIdentifier(0x22)_SIM subscription status</t>
  </si>
  <si>
    <t>1. Tester发送: 22 D9 9E
2. Tester发送请求:10 02
3. Tester发送请求:22 D9 9E
4. Tester发送请求:10 01
5. Tester发送请求:10 03
6. Tester发送请求:22 D9 9E</t>
  </si>
  <si>
    <t>1.肯定响应：62 D9 9E xx xx ..
2.肯定响应： 50 02
3.否定响应：7F 22 31
4.肯定响应： 50 01
5.肯定响应： 50 03
6.肯定响应：62 D9 9E xx xx ..</t>
  </si>
  <si>
    <t>BaseTech_NetwaorkArchitecture_Diag_0086</t>
  </si>
  <si>
    <t>UDS_ReadDataByIdentifier(0x22)_Cellular signal Strength</t>
  </si>
  <si>
    <t>1. Tester发送: 22 D9 9F
2. Tester发送请求:10 02
3. Tester发送请求:22 D9 9F
4. Tester发送请求:10 01
5. Tester发送请求:10 03
6. Tester发送请求:22 D9 9F</t>
  </si>
  <si>
    <t>1.肯定响应：62 D9 9F xx xx ..
2.肯定响应： 50 02
3.否定响应：7F 22 31
4.肯定响应： 50 01
5.肯定响应： 50 03
6.肯定响应：62 D9 9F xx xx ..</t>
  </si>
  <si>
    <t>BaseTech_NetwaorkArchitecture_Diag_0087</t>
  </si>
  <si>
    <t>UDS_ReadDataByIdentifier(0x22)_Backup battery temperature</t>
  </si>
  <si>
    <t>1. Tester发送: 22 D9 A0
2. Tester发送请求:10 02
3. Tester发送请求:22 D9 A0
4. Tester发送请求:10 01
5. Tester发送请求:10 03
6. Tester发送请求:22 D9 A0</t>
  </si>
  <si>
    <t>1.肯定响应：62 D9 A0 xx xx ..
2.肯定响应： 50 02
3.否定响应：7F 22 31
4.肯定响应： 50 01
5.肯定响应： 50 03
6.肯定响应：62 D9 A0 xx xx ..</t>
  </si>
  <si>
    <t>BaseTech_NetwaorkArchitecture_Diag_0088</t>
  </si>
  <si>
    <t>UDS_ReadDataByIdentifier(0x22)_Backup battery code</t>
  </si>
  <si>
    <t>1. Tester发送: 22 D9 A1
2. Tester发送请求:10 02
3. Tester发送请求:22 D9 A1
4. Tester发送请求:10 01
5. Tester发送请求:10 03
6. Tester发送请求:22 D9 A1</t>
  </si>
  <si>
    <t>1.肯定响应：62 D9 A1 xx xx ..
2.肯定响应： 50 02
3.否定响应：7F 22 31
4.肯定响应： 50 01
5.肯定响应： 50 03
6.肯定响应：62 D9 A1 xx xx ..</t>
  </si>
  <si>
    <t>BaseTech_NetwaorkArchitecture_Diag_0089</t>
  </si>
  <si>
    <t>UDS_ReadDataByIdentifier(0x22)_Backup battery voltage</t>
  </si>
  <si>
    <t>1. Tester发送: 22 D9 A2
2. Tester发送请求:10 02
3. Tester发送请求:22 D9 A2
4. Tester发送请求:10 01
5. Tester发送请求:10 03
6. Tester发送请求:22 D9 A2</t>
  </si>
  <si>
    <t>1.肯定响应：62 D9 A2 xx xx ..
2.肯定响应： 50 02
3.否定响应：7F 22 31
4.肯定响应： 50 01
5.肯定响应： 50 03
6.肯定响应：62 D9 A2 xx xx ..</t>
  </si>
  <si>
    <t>BaseTech_NetwaorkArchitecture_Diag_0090</t>
  </si>
  <si>
    <t>UDS_ReadDataByIdentifier(0x22)_Backup battery status</t>
  </si>
  <si>
    <t>1. Tester发送: 22 D9 A4
2. Tester发送请求:10 02
3. Tester发送请求:22 D9 A4
4. Tester发送请求:10 01
5. Tester发送请求:10 03
6. Tester发送请求:22 D9 A4</t>
  </si>
  <si>
    <t>1.肯定响应：62 D9 A4 xx xx ..
2.肯定响应： 50 02
3.否定响应：7F 22 31
4.肯定响应： 50 01
5.肯定响应： 50 03
6.肯定响应：62 D9 A4 xx xx ..</t>
  </si>
  <si>
    <t>BaseTech_NetwaorkArchitecture_Diag_0091</t>
  </si>
  <si>
    <t>UDS_ReadDataByIdentifier(0x22)_GNSS position update frequency</t>
  </si>
  <si>
    <t>1. Tester发送: 22 D9 A6
2. Tester发送请求:10 02
3. Tester发送请求:22 D9 A6
4. Tester发送请求:10 01
5. Tester发送请求:10 03
6. Tester发送请求:22 D9 A6</t>
  </si>
  <si>
    <t>1.肯定响应：62 D9 A6 xx xx ..
2.肯定响应： 50 02
3.否定响应：7F 22 31
4.肯定响应： 50 01
5.肯定响应： 50 03
6.肯定响应：62 D9 A6 xx xx ..</t>
  </si>
  <si>
    <t>BaseTech_NetwaorkArchitecture_Diag_0092</t>
  </si>
  <si>
    <t>UDS_ReadDataByIdentifier(0x22)_GPS UTC time</t>
  </si>
  <si>
    <t>1. Tester发送: 22 D9 A7
2. Tester发送请求:10 02
3. Tester发送请求:22 D9 A7
4. Tester发送请求:10 01
5. Tester发送请求:10 03
6. Tester发送请求:22 D9 A7</t>
  </si>
  <si>
    <t>1.肯定响应：62 D9 A7 xx xx ..
2.肯定响应： 50 02
3.否定响应：7F 22 31
4.肯定响应： 50 01
5.肯定响应： 50 03
6.肯定响应：62 D9 A7 xx xx ..</t>
  </si>
  <si>
    <t>BaseTech_NetwaorkArchitecture_Diag_0093</t>
  </si>
  <si>
    <t>UDS_Read/WriteDataByIdentifier(0x22/2E)_Telematics services provision</t>
  </si>
  <si>
    <t xml:space="preserve">1. Tester发送: 2E D9 BA xx xx
2. Tester发送: 22 D9 BA
3. Tester发送请求:10 03
4. Tester发送请求:22 D9 BA 
5. Tester发送请求:2E D9 BA xx xx
6. Tester发送请求:22 D9 BA 
7. Tester发送请求:10 02
8. Tester发送请求:2E D9 BA xx xx 
9. Tester发送请求:22 D9 BA </t>
  </si>
  <si>
    <t>1.肯定响应：62 D9 BA xx xx
2.肯定响应：62 D9 BA xx xx
3.肯定响应： 50 03
4.肯定响应：62 D9 BA xx xx
5.肯定响应：6E D9 BA xx xx
6.肯定响应：62 D9 BA xx xx
7.肯定响应： 50 02
8. 否定响应：7F 2E 31
9. 否定响应：7F 2E 31</t>
  </si>
  <si>
    <t>BaseTech_NetwaorkArchitecture_Diag_0094</t>
  </si>
  <si>
    <t>UDS_ReadDataByIdentifier(0x22)_MQTTServerURL</t>
  </si>
  <si>
    <t>1. Tester发送: 22 D9 BB
2. Tester发送请求:10 02
3. Tester发送请求:22 D9 BB
4. Tester发送请求:10 01
5. Tester发送请求:10 03
6. Tester发送请求:22 D9 BB</t>
  </si>
  <si>
    <t>1.肯定响应：62 D9 BB xx xx ..
2.肯定响应： 50 02
3.否定响应：7F 22 31
4.肯定响应： 50 01
5.肯定响应： 50 03
6.肯定响应：62 D9 BB xx xx ..</t>
  </si>
  <si>
    <t>BaseTech_NetwaorkArchitecture_Diag_0095</t>
  </si>
  <si>
    <t>UDS_ReadDataByIdentifier(0x22)_RMSconfig</t>
  </si>
  <si>
    <t>1. Tester发送: 22 D9 BC
2. Tester发送请求:10 02
3. Tester发送请求:22 D9 BC
4. Tester发送请求:10 01
5. Tester发送请求:10 03
6. Tester发送请求:22 D9 BC</t>
  </si>
  <si>
    <t>1.肯定响应：62 D9 BC xx xx ..
2.肯定响应： 50 02
3.否定响应：7F 22 31
4.肯定响应： 50 01
5.肯定响应： 50 03
6.肯定响应：62 D9 BC xx xx ..</t>
  </si>
  <si>
    <t>BaseTech_NetwaorkArchitecture_Diag_0096</t>
  </si>
  <si>
    <t>UDS_ReadDataByIdentifier(0x22)_RMSserveraddress</t>
  </si>
  <si>
    <t>1. Tester发送: 22 D9 BD
2. Tester发送请求:10 02
3. Tester发送请求:22 D9 BD
4. Tester发送请求:10 01
5. Tester发送请求:10 03
6. Tester发送请求:22 D9 BD</t>
  </si>
  <si>
    <t>1.肯定响应：62 D9 BD xx xx ..
2.肯定响应： 50 02
3.否定响应：7F 22 31
4.肯定响应： 50 01
5.肯定响应： 50 03
6.肯定响应：62 D9 BD xx xx ..</t>
  </si>
  <si>
    <t>BaseTech_NetwaorkArchitecture_Diag_0097</t>
  </si>
  <si>
    <t>UDS_ReadDataByIdentifier(0x22)_Car Configuration Parameter Faults</t>
  </si>
  <si>
    <t>1. Tester发送: 22 E1 03
2. Tester发送请求:10 02
3. Tester发送请求:22 E1 03
4. Tester发送请求:10 01
5. Tester发送请求:10 03
6. Tester发送请求:22 E1 03</t>
  </si>
  <si>
    <t>1.肯定响应：62 E1 03 xx xx ..
2.肯定响应： 50 02
3.否定响应：7F 22 31
4.肯定响应： 50 01
5.肯定响应： 50 03
6.肯定响应：62 E1 03 xx xx ..</t>
  </si>
  <si>
    <t>BaseTech_NetwaorkArchitecture_Diag_0098</t>
  </si>
  <si>
    <t>UDS_ReadDataByIdentifier(0x22)_LSAtable(ARP)</t>
  </si>
  <si>
    <t>1. Tester发送: 22 FD 46
2. Tester发送请求:10 02
3. Tester发送请求:22 FD 46
4. Tester发送请求:10 01
5. Tester发送请求:10 03
6. Tester发送请求:22 FD 46</t>
  </si>
  <si>
    <t>1.肯定响应：62 FD 46 xx xx ..
2.肯定响应： 50 02
3.否定响应：7F 22 31
4.肯定响应： 50 01
5.肯定响应： 50 03
6.肯定响应：62 FD 46 xx xx ..</t>
  </si>
  <si>
    <t>BaseTech_NetwaorkArchitecture_Diag_0099</t>
  </si>
  <si>
    <t>UDS_ReadDataByIdentifier(0x22)_GPS location</t>
  </si>
  <si>
    <t>1. Tester发送: 22 FD 50
2. Tester发送请求:10 02
3. Tester发送请求:22 FD 50
4. Tester发送请求:10 01
5. Tester发送请求:10 03
6. Tester发送请求:22 FD 50</t>
  </si>
  <si>
    <t>1.肯定响应：62 FD 50 xx xx ..
2.肯定响应： 50 02
3.否定响应：7F 22 31
4.肯定响应： 50 01
5.肯定响应： 50 03
6.肯定响应：62 FD 50 xx xx ..</t>
  </si>
  <si>
    <t>BaseTech_NetwaorkArchitecture_Diag_0100</t>
  </si>
  <si>
    <t>UDS_Read/WriteDataByIdentifier(0x22/2E)_RemoteControlProhibit</t>
  </si>
  <si>
    <t xml:space="preserve">1. Tester发送: 2E FD 51 xx xx
2. Tester发送: 22 FD 51
3. Tester发送请求:10 03
4. Tester发送请求:22 FD 51 
5. Tester发送请求:27 05
6. Tester发送请求: 27 06 k1 k2 k3
7. Tester发送请求:2E FD 51 xx xx
8. Tester发送请求:10 02
9. Tester发送请求:2E FD 51 xx xx 
10. Tester发送请求:22 FD 51 </t>
  </si>
  <si>
    <t>1.否定响应：7F 2E 31
2.否定响应：7F 2E 31
3.肯定响应： 50 03
4.肯定响应：62 FD 51 xx xx
5.肯定响应： 67 05 s1 s2 s3
6.肯定响应： 67 06 k1 k2 k3
7.肯定响应：6E FD 51 xx xx
8.肯定响应： 50 02
9. 否定响应：7F 2E 31
10. 否定响应：7F 2E 31</t>
  </si>
  <si>
    <t>BaseTech_NetwaorkArchitecture_Diag_0101</t>
  </si>
  <si>
    <t>UDS_Read/WriteDataByIdentifier(0x22/2E)_VehicleIdentification</t>
  </si>
  <si>
    <t xml:space="preserve">1. Tester发送: 2E B1 63 xx xx
2. Tester发送: 22 B1 63
3. Tester发送请求:10 02
4. Tester发送请求:22 B1 63
5. Tester发送请求：2E B1 63 xx xx
6. Tester发送请求：10 01
7. Tester发送请求:10 03
8. Tester发送请求:27 05
9. Tester发送请求: 27 06 k1 k2 k3
10. Tester发送请求:22 B1 63
11. Tester发送请求:10 03
12. Tester发送请求:27 07
13. Tester发送请求: 27 08 k1 k2 k3
14. Tester发送请求:2E B1 63 xx xx </t>
  </si>
  <si>
    <t>1.否定响应：7F 2E 31
2.否定响应：7F 22 31
3.肯定响应： 50 02
4.肯定响应：7F 22 31
5.否定响应：7F 2E 31
6.肯定响应： 50 01
7.肯定响应： 50 03
8.肯定响应： 67 01 s1 s2 s3
9. 肯定响应： 67 02 k1 k2 k3
10. 肯定响应： 62 B1 63 xx xx
11. 肯定响应： 50 03
12.肯定响应： 67 07 s1 s2 s3
13. 肯定响应： 67 08 k1 k2 k3
14. 肯定响应：6E B1 63</t>
  </si>
  <si>
    <t>BaseTech_NetwaorkArchitecture_Diag_0102</t>
  </si>
  <si>
    <t>UDS_WriteDataByIdentifier(0X2E)_Security Constant Level 11/12</t>
  </si>
  <si>
    <t>1. Tester发送请求：2E D1 2F xx xx
2. Tester发送请求：10 02
3. Tester发送请求：2E D1 2F xx xx
4. Tester发送请求：10 01
5. Tester发送请求：10 03
6. Tester发送请求：27 11
7. Tester发送请求：27 12 k1 k2 k3
8. Tester发送请求：2E D1 2F xx xx</t>
  </si>
  <si>
    <t>1. 否定响应: 7F 2E 31
2. 肯定响应: 50 02
3. 否定响应: 7F 2E 31
4. 肯定响应: 50 01
5. 肯定响应: 50 03
6. 肯定响应: 67 11 s1 s2 s3
7. 肯定响应: 67 12 k1 k2 k3
8. 肯定响应: 6E D1 2F xx xx</t>
  </si>
  <si>
    <t>BaseTech_NetwaorkArchitecture_Diag_0103</t>
  </si>
  <si>
    <t>UDS_RoutineControl(0x31)_write PKI cerficate</t>
  </si>
  <si>
    <t>1. Tester发送请求：31 01 80 20
2. Tester发送请求：10 02
3. Tester发送请求：31 01 80 20
4. Tester发送请求：10 01
5. Tester发送请求：10 03
6. Tester发送请求：27 07
7. Tester发送请求：27 08 k1 k2 k3
8. Tester发送请求：31 01 80 20</t>
  </si>
  <si>
    <t>1. 否定响应: 7F 31 31
2. 肯定响应: 50 02
3. 否定响应: 7F 31 31
4. 肯定响应: 50 01
5. 肯定响应: 50 03
6. 肯定响应: 67 07 s1 s2 s3
7. 肯定响应: 67 08 k1 k2 k3
8. 肯定响应: 71 01 80 20 10 00</t>
  </si>
  <si>
    <t>BaseTech_NetwaorkArchitecture_Diag_0104</t>
  </si>
  <si>
    <t>1. Tester发送请求：31 01 02 08
2. Tester发送请求：10 03
3. Tester发送请求：31 01 02 08
4. Tester发送请求：10 02
5. Tester发送请求：27 01
6. Tester发送请求：27 02 k1 k2 k3
7. Tester发送请求：31 01 02 08</t>
  </si>
  <si>
    <t>1. 否定响应: 7F 31 31
2. 肯定响应: 50 03
3. 否定响应: 7F 31 31
4. 肯定响应: 50 02
5. 肯定响应: 67 01 s1 s2 s3
6. 肯定响应: 67 02 k1 k2 k3
7. 肯定响应: 71 01 02 08 10 00</t>
  </si>
  <si>
    <t>BaseTech_NetwaorkArchitecture_Diag_0105</t>
  </si>
  <si>
    <t>UDS_ReadDTCInformation(0x19)</t>
  </si>
  <si>
    <t xml:space="preserve">1.上电默认Default Session
</t>
  </si>
  <si>
    <t>1.Tester发送：10 01
2. Tester发送读取诊断故障信息：19 02 09
3.Tester发送：10 03
4.Tester发送读取诊断故障信息：19 02 09
5.Tester发送：10 02
6.Tester发送读取诊断故障信息：19 02 09</t>
  </si>
  <si>
    <t>1.肯定响应：50 01
2.肯定响应：59 02 FF xx xx xx(如果有故障)
3.肯定响应：50 03
4.肯定响应：59 02 FF xx xx xx(如果有故障)
5.肯定响应：50 02
6.否定响应：7F 19 31</t>
  </si>
  <si>
    <t>BaseTech_NetwaorkArchitecture_Diag_0106</t>
  </si>
  <si>
    <t>UDS_ClearDiagnosticInformation(0x14)</t>
  </si>
  <si>
    <t>1.Tester发送：10 01
2.Tester发送读取诊断故障信息：19 02 09
3.Tester发送:14 FF FF FF
4.Tester发送：10 03
5.Tester发送读取诊断故障信息：19 02 09
6.Tester发送:14 FF FF FF
7.Tester发送：10 02
8.Tester发送:14 FF FF FF</t>
  </si>
  <si>
    <t>1.肯定响应：50 01
2.肯定响应：59 02 FF xx xx xx(如果有故障)
3.肯定响应：54
4.肯定响应：50 03
5.肯定响应：59 02 FF xx xx xx(如果有故障)
6.肯定响应：54
7.肯定响应：50 02
8.否定响应：7F 14 31</t>
  </si>
  <si>
    <t>DPMS-5679</t>
  </si>
  <si>
    <t>BaseTech_NetwaorkArchitecture_Diag_0107</t>
  </si>
  <si>
    <t>UDS_ReadDTCInformation(0x19)_ECU Software System Programming Failures Invalid / Incompatible Software Component（E40057）</t>
  </si>
  <si>
    <t>1.上电默认Default Session
2.After each SWDL or OTA software download, TCAM Will do this check.</t>
  </si>
  <si>
    <t>1.Tester发送：10 01
2. Tester发送清除诊断信息: 14 FF FF FF
3.刷写TCAM,制造刷写失败，Tester发送读取诊断故障信息：19 02 09
4. 故障排除，Tester发送查看当前故障和历史故障：19 02 09</t>
  </si>
  <si>
    <t>1.肯定响应：50 01
2.肯定响应：54
3.肯定响应：59 02 FF F1 00 00 xx（当前故障）
4.肯定响应：59 02 FF F1 00 00 xx（历史故障）</t>
  </si>
  <si>
    <t>BaseTech_NetwaorkArchitecture_Diag_0108</t>
  </si>
  <si>
    <t>UDS_ReadDTCInformation(0x19)_Battery Temperature Sensor Circuit- General Electrical Failures- Circuit short to ground（0x051511）</t>
  </si>
  <si>
    <t xml:space="preserve">1.上电默认Default Session
2.A) DTC tests shall run all the time when the ECU is in normal mode with exceptions below:
   1) DTC tests shall be inhibited when ElPowerLevel!=0.
   2) DTC tests shall be inhibited for 5s±2s during any transition from one usage or car mode to another mode.  
   3)DTC tests shall be inhibited when the car modes is Dyno, Factory, Transport or Crash.
B) 6.8V &lt; Vbat &lt; 18V (±0.2V)
       Vbat shall be measured by the ECU itself. It shall not be based on the Vbat received via CAN
</t>
  </si>
  <si>
    <t>1.Tester发送：10 01
2. Tester发送清除诊断信息: 14 FF FF FF
3.电池温度传感器电路对地短路，Tester发送读取诊断故障信息：19 02 09
4. 故障排除，Tester发送查看当前故障和历史故障：19 02 09</t>
  </si>
  <si>
    <t>BaseTech_NetwaorkArchitecture_Diag_0109</t>
  </si>
  <si>
    <t>UDS_ReadDTCInformation(0x19)_Battery Temperature Sensor Circuit- General Electrical Failures- Circuit short to battery（0x051512）</t>
  </si>
  <si>
    <t>1.Tester发送：10 01
2. Tester发送清除诊断信息: 14 FF FF FF
3.电池温度传感器电路，电池短路，Tester发送读取诊断故障信息：19 02 09
4. 故障排除，Tester发送查看当前故障和历史故障：19 02 09</t>
  </si>
  <si>
    <t>UDS_ReadDTCInformation(0x19)_Battery Temperature Sensor Circuit- General Electrical Failures- Circuit open（0x051513）</t>
  </si>
  <si>
    <t>BaseTech_NetwaorkArchitecture_Diag_0110</t>
  </si>
  <si>
    <t>UDS_ReadDTCInformation(0x19)_VIN Incompatible（0x454600）</t>
  </si>
  <si>
    <t>1.Tester发送：10 01
2. Tester发送清除诊断信息: 14 FF FF FF
3.VIN不兼容，Tester发送读取诊断故障信息：19 02 09
4. 故障排除，Tester发送查看当前故障和历史故障：19 02 09</t>
  </si>
  <si>
    <t>BaseTech_NetwaorkArchitecture_Diag_0111</t>
  </si>
  <si>
    <t>UDS_ReadDTCInformation(0x19)_Radio Frequency (RF) Receiver- - System Internal Failures（0x92EA04）</t>
  </si>
  <si>
    <t>1.Tester发送：10 01
2. Tester发送清除诊断信息: 14 FF FF FF
3.射频 (RF) 接收器系统内部故障，Tester发送读取诊断故障信息：19 02 09
4. 故障排除，Tester发送查看当前故障和历史故障：19 02 09</t>
  </si>
  <si>
    <t>BaseTech_NetwaorkArchitecture_Diag_0112</t>
  </si>
  <si>
    <t>UDS_ReadDTCInformation(0x19)_E-Call Button- General Electrical Failures- Circuit open（0x978B13）</t>
  </si>
  <si>
    <t>1.Tester发送：10 01
2. Tester发送清除诊断信息: 14 FF FF FF
3.紧急呼叫按钮，电路开路，Tester发送读取诊断故障信息：19 02 09
4. 故障排除，Tester发送查看当前故障和历史故障：19 02 09</t>
  </si>
  <si>
    <t>BaseTech_NetwaorkArchitecture_Diag_0113</t>
  </si>
  <si>
    <t>UDS_ReadDTCInformation(0x19)_Red LED- Component Failures- Incorrect assembly（0x978D95）</t>
  </si>
  <si>
    <t>1.Tester发送：10 01
2. Tester发送清除诊断信息: 14 FF FF FF
3.红色 LED，组装不正确，Tester发送读取诊断故障信息：19 02 09
4. 故障排除，Tester发送查看当前故障和历史故障：19 02 09</t>
  </si>
  <si>
    <t>BaseTech_NetwaorkArchitecture_Diag_0114</t>
  </si>
  <si>
    <t>UDS_ReadDTCInformation(0x19)_Data Integrity fault in NVM- -（0xD00200）</t>
  </si>
  <si>
    <t>1.Tester发送：10 01
2. Tester发送清除诊断信息: 14 FF FF FF
3.NVM 中的数据完整性故障，Tester发送读取诊断故障信息：19 02 09
4. 故障排除，Tester发送查看当前故障和历史故障：19 02 09</t>
  </si>
  <si>
    <t>UDS_ReadDTCInformation(0x19)_Connectivity CAN Bus Signal- Bus Signal / Message Failures- Bus off（0xD02A88）</t>
  </si>
  <si>
    <t>1.Tester发送：10 01
2. Tester发送清除诊断信息: 14 FF FF FF
3.连接 CAN 总线信号 - 总线信号/消息故障 - 总线关闭，Tester发送读取诊断故障信息：19 02 09
4. 故障排除，Tester发送查看当前故障和历史故障：19 02 09</t>
  </si>
  <si>
    <t>BaseTech_NetwaorkArchitecture_Diag_0115</t>
  </si>
  <si>
    <t>UDS_ReadDTCInformation(0x19)_cell antenna- General Electrical Failures- Circuit short to battery（0xD06112）</t>
  </si>
  <si>
    <t>1.Tester发送：10 01
2. Tester发送清除诊断信息: 14 FF FF FF
3.5G天线 - 一般电气故障 - 电池短路，Tester发送读取诊断故障信息：19 02 09
4. 故障排除，Tester发送查看当前故障和历史故障：19 02 09</t>
  </si>
  <si>
    <t>BaseTech_NetwaorkArchitecture_Diag_0116</t>
  </si>
  <si>
    <t>UDS_ReadDTCInformation(0x19)_cell antenna- General Electrical Failures- Circuit short to ground（0xD06111）</t>
  </si>
  <si>
    <t>1.Tester发送：10 01
2. Tester发送清除诊断信息: 14 FF FF FF
3.5G天线 - 一般电气故障 - 对地短路，Tester发送读取诊断故障信息：19 02 09
4. 故障排除，Tester发送查看当前故障和历史故障：19 02 09</t>
  </si>
  <si>
    <t>BaseTech_NetwaorkArchitecture_Diag_0117</t>
  </si>
  <si>
    <t>UDS_ReadDTCInformation(0x19)_cell antenna- General Electrical Failures- Circuit open（0xD06113）</t>
  </si>
  <si>
    <t>1.Tester发送：10 01
2. Tester发送清除诊断信息: 14 FF FF FF
3.5G天线 - 一般电气故障 - 电路开路，Tester发送读取诊断故障信息：19 02 09
4. 故障排除，Tester发送查看当前故障和历史故障：19 02 09</t>
  </si>
  <si>
    <t>BaseTech_NetwaorkArchitecture_Diag_0118</t>
  </si>
  <si>
    <t>UDS_ReadDTCInformation(0x19)_CELL2 antenna- General Electrical Failures- Circuit short to ground（0xD06211）</t>
  </si>
  <si>
    <t>1.Tester发送：10 01
2. Tester发送清除诊断信息: 14 FF FF FF
3.5G天线2 - 一般电气故障 - 对地短路，Tester发送读取诊断故障信息：19 02 09
4. 故障排除，Tester发送查看当前故障和历史故障：19 02 09</t>
  </si>
  <si>
    <t>BaseTech_NetwaorkArchitecture_Diag_0119</t>
  </si>
  <si>
    <t>UDS_ReadDTCInformation(0x19)_CELL2 antenna- General Electrical Failures- Circuit short to battery（0xD06212）</t>
  </si>
  <si>
    <t>1.Tester发送：10 01
2. Tester发送清除诊断信息: 14 FF FF FF
3.5G天线2 - 一般电气故障 - 电池短路，Tester发送读取诊断故障信息：19 02 09
4. 故障排除，Tester发送查看当前故障和历史故障：19 02 09</t>
  </si>
  <si>
    <t>BaseTech_NetwaorkArchitecture_Diag_0120</t>
  </si>
  <si>
    <t>UDS_ReadDTCInformation(0x19)_CELL2 antenna- General Electrical Failures- Circuit open（0xD06213）</t>
  </si>
  <si>
    <t>1.Tester发送：10 01
2. Tester发送清除诊断信息: 14 FF FF FF
3.5G天线2 - 一般电气故障 - 电路开路，Tester发送读取诊断故障信息：19 02 09
4. 故障排除，Tester发送查看当前故障和历史故障：19 02 09</t>
  </si>
  <si>
    <t>BaseTech_NetwaorkArchitecture_Diag_0121</t>
  </si>
  <si>
    <t>UDS_ReadDTCInformation(0x19)_CELL3 antenna- General Electrical Failures- Circuit short to ground（0xD06311）</t>
  </si>
  <si>
    <t>1.Tester发送：10 01
2. Tester发送清除诊断信息: 14 FF FF FF
3.5G天线3 - 一般电气故障 - 对地短路，Tester发送读取诊断故障信息：19 02 09
4. 故障排除，Tester发送查看当前故障和历史故障：19 02 09</t>
  </si>
  <si>
    <t>BaseTech_NetwaorkArchitecture_Diag_0122</t>
  </si>
  <si>
    <t>UDS_ReadDTCInformation(0x19)_CELL3 antenna- General Electrical Failures- Circuit short to battery（0xD06312）</t>
  </si>
  <si>
    <t>1.Tester发送：10 01
2. Tester发送清除诊断信息: 14 FF FF FF
3.5G天线3 - 一般电气故障 - 电池短路，Tester发送读取诊断故障信息：19 02 09
4. 故障排除，Tester发送查看当前故障和历史故障：19 02 09</t>
  </si>
  <si>
    <t>UDS_ReadDTCInformation(0x19)_CELL3 antenna- General Electrical Failures- Circuit open（0xD06313）</t>
  </si>
  <si>
    <t>1.Tester发送：10 01
2. Tester发送清除诊断信息: 14 FF FF FF
3.5G天线3 - 一般电气故障 - 电路开路，Tester发送读取诊断故障信息：19 02 09
4. 故障排除，Tester发送查看当前故障和历史故障：19 02 09</t>
  </si>
  <si>
    <t>BaseTech_NetwaorkArchitecture_Diag_0123</t>
  </si>
  <si>
    <t>UDS_ReadDTCInformation(0x19)_CELL4 antenna- General Electrical Failures- Circuit short to ground（0xD06411）</t>
  </si>
  <si>
    <t>1.Tester发送：10 01
2. Tester发送清除诊断信息: 14 FF FF FF
3.5G天线4 - 一般电气故障 - 对地短路，Tester发送读取诊断故障信息：19 02 09
4. 故障排除，Tester发送查看当前故障和历史故障：19 02 09</t>
  </si>
  <si>
    <t>BaseTech_NetwaorkArchitecture_Diag_0124</t>
  </si>
  <si>
    <t>UDS_ReadDTCInformation(0x19)_CELL4 antenna- General Electrical Failures- Circuit short to battery（0xD06412）</t>
  </si>
  <si>
    <t>1.Tester发送：10 01
2. Tester发送清除诊断信息: 14 FF FF FF
3.5G天线4 - 一般电气故障 - 电池短路，Tester发送读取诊断故障信息：19 02 09
4. 故障排除，Tester发送查看当前故障和历史故障：19 02 09</t>
  </si>
  <si>
    <t>BaseTech_NetwaorkArchitecture_Diag_0125</t>
  </si>
  <si>
    <t>UDS_ReadDTCInformation(0x19)_CELL4 antenna- General Electrical Failures- Circuit open（0xD06413）</t>
  </si>
  <si>
    <t>1.Tester发送：10 01
2. Tester发送清除诊断信息: 14 FF FF FF
3.5G天线4 - 一般电气故障 - 电路开路，Tester发送读取诊断故障信息：19 02 09
4. 故障排除，Tester发送查看当前故障和历史故障：19 02 09</t>
  </si>
  <si>
    <t>BaseTech_NetwaorkArchitecture_Diag_0126</t>
  </si>
  <si>
    <t>UDS_ReadDTCInformation(0x19)_GNSS antenna- General Electrical Failures- Circuit short to battery（0xD07011）</t>
  </si>
  <si>
    <t>1.Tester发送：10 01
2. Tester发送清除诊断信息: 14 FF FF FF
3.GNSS 天线 - 一般电气故障 - 电池短路，Tester发送读取诊断故障信息：19 02 09
4. 故障排除，Tester发送查看当前故障和历史故障：19 02 09</t>
  </si>
  <si>
    <t>BaseTech_NetwaorkArchitecture_Diag_0127</t>
  </si>
  <si>
    <t>UDS_ReadDTCInformation(0x19)_GNSS antenna- General Electrical Failures- Circuit short to ground（0xD07012）</t>
  </si>
  <si>
    <t>1.Tester发送：10 01
2. Tester发送清除诊断信息: 14 FF FF FF
3.GNSS 天线 - 一般电气故障 - 对地短路，Tester发送读取诊断故障信息：19 02 09
4. 故障排除，Tester发送查看当前故障和历史故障：19 02 09</t>
  </si>
  <si>
    <t>BaseTech_NetwaorkArchitecture_Diag_0128</t>
  </si>
  <si>
    <t>UDS_ReadDTCInformation(0x19)_GNSS antenna- General Electrical Failures- Circuit open（0xD07013）</t>
  </si>
  <si>
    <t>1.Tester发送：10 01
2. Tester发送清除诊断信息: 14 FF FF FF
3.GNSS 天线 - 一般电气故障 - 电路开路，Tester发送读取诊断故障信息：19 02 09
4. 故障排除，Tester发送查看当前故障和历史故障：19 02 09</t>
  </si>
  <si>
    <t>BaseTech_NetwaorkArchitecture_Diag_0129</t>
  </si>
  <si>
    <t>UDS_ReadDTCInformation(0x19)_BGM Not Connected On Ethernet- -（0xD0B000）</t>
  </si>
  <si>
    <t>1.Tester发送：10 01
2. Tester发送清除诊断信息: 14 FF FF FF
3.BGM 未连接到以太网 ，Tester发送读取诊断故障信息：19 02 09
4. 故障排除，Tester发送查看当前故障和历史故障：19 02 09</t>
  </si>
  <si>
    <t>BaseTech_NetwaorkArchitecture_Diag_0130</t>
  </si>
  <si>
    <t>UDS_ReadDTCInformation(0x19)_Immobilizer Key- System Programming Failures- Not programmed（0xD0B151）</t>
  </si>
  <si>
    <t>1.Tester发送：10 01
2. Tester发送清除诊断信息: 14 FF FF FF
3.防盗锁钥匙 - 系统编程失败 - 未编程，Tester发送读取诊断故障信息：19 02 09
4. 故障排除，Tester发送查看当前故障和历史故障：19 02 09</t>
  </si>
  <si>
    <t>BaseTech_NetwaorkArchitecture_Diag_0131</t>
  </si>
  <si>
    <t>UDS_ReadDTCInformation(0x19)_Airbag Hardware Wire- General Electrical Failures- Circuit short to ground（0xD0B211）</t>
  </si>
  <si>
    <t>1.Tester发送：10 01
2. Tester发送清除诊断信息: 14 FF FF FF
3.安全气囊硬件线 - 一般电气故障 - 电路对地短路，Tester发送读取诊断故障信息：19 02 09
4. 故障排除，Tester发送查看当前故障和历史故障：19 02 09</t>
  </si>
  <si>
    <t>BaseTech_NetwaorkArchitecture_Diag_0132</t>
  </si>
  <si>
    <t>UDS_ReadDTCInformation(0x19)_Airbag Hardware Wire- General Electrical Failures- Circuit short to battery or open（0xD0B215）</t>
  </si>
  <si>
    <t>1.Tester发送：10 01
2. Tester发送清除诊断信息: 14 FF FF FF
3.安全气囊硬件线 - 一般电气故障 - 电池短路或开路，Tester发送读取诊断故障信息：19 02 09
4. 故障排除，Tester发送查看当前故障和历史故障：19 02 09</t>
  </si>
  <si>
    <t>BaseTech_NetwaorkArchitecture_Diag_0133</t>
  </si>
  <si>
    <t>UDS_ReadDTCInformation(0x19)_Airbag Hardware Wire- Bus Signal / Message Failures- Signal invalid（0xD0B286）</t>
  </si>
  <si>
    <t>1.Tester发送：10 01
2. Tester发送清除诊断信息: 14 FF FF FF
3.Airbag Hardware Wire- Bus Signal / Message Failures- Signal invalid，Tester发送读取诊断故障信息：19 02 09
4. 故障排除，Tester发送查看当前故障和历史故障：19 02 09</t>
  </si>
  <si>
    <t>BaseTech_NetwaorkArchitecture_Diag_0134</t>
  </si>
  <si>
    <t>UDS_ReadDTCInformation(0x19)_Back-up battery- General Electrical Failures- Circuit short to battery（0xE10912）</t>
  </si>
  <si>
    <t>1.Tester发送：10 01
2. Tester发送清除诊断信息: 14 FF FF FF
3.备用电池 - 一般电气故障 - 电池短路，Tester发送读取诊断故障信息：19 02 09
4. 故障排除，Tester发送查看当前故障和历史故障：19 02 09</t>
  </si>
  <si>
    <t>BaseTech_NetwaorkArchitecture_Diag_0135</t>
  </si>
  <si>
    <t>UDS_ReadDTCInformation(0x19)_Back-up battery- General Electrical Failures- Circuit short to ground or open（0xE10914）</t>
  </si>
  <si>
    <t>BaseTech_NetwaorkArchitecture_Diag_0136</t>
  </si>
  <si>
    <t>UDS_ReadDTCInformation(0x19)_Back-up battery- Algorithm Based Failures- Signal compare failure（0xE10962）</t>
  </si>
  <si>
    <t xml:space="preserve">1.上电默认Default Session
2.A) DTC tests shall run all the time when the ECU is in normal mode with exceptions below:
   1) DTC tests shall be inhibited when ElPowerLevel!=0.
   2) DTC tests shall be inhibited for 5s±2s during any transition from one usage or car mode to another mode.  
   3)DTC tests shall be inhibited when the car modes is Dyno, Factory, Transport or Crash.
B) 6.8V &lt; Vbat &lt; 18V (±0.2V)
       Vbat shall be measured by the ECU itself. It shall not be based on the Vbat received via CAN
</t>
    <phoneticPr fontId="1" type="noConversion"/>
  </si>
  <si>
    <t>1.Tester发送：10 01
2. Tester发送清除诊断信息: 14 FF FF FF
3.备用电池 - 基于算法的故障 - 信号比较故障，Tester发送读取诊断故障信息：19 02 09
4. 故障排除，Tester发送查看当前故障和历史故障：19 02 09</t>
  </si>
  <si>
    <t>BaseTech_NetwaorkArchitecture_Diag_0137</t>
  </si>
  <si>
    <t>UDS_ReadDTCInformation(0x19)_Central Configuration- System Programming Failures- Not configured（0xE30055）</t>
  </si>
  <si>
    <t>1.Tester发送：10 01
2. Tester发送清除诊断信息: 14 FF FF FF
3.中央配置 - 系统编程失败 - 未配置，Tester发送读取诊断故障信息：19 02 09
4. 故障排除，Tester发送查看当前故障和历史故障：19 02 09</t>
  </si>
  <si>
    <t>BaseTech_NetwaorkArchitecture_Diag_0138</t>
  </si>
  <si>
    <t>UDS_ReadDTCInformation(0x19)_Central Configuration- System Programming Failures- Invalid / incompatible configuration（0xE30056）</t>
  </si>
  <si>
    <t>1.Tester发送：10 01
2. Tester发送清除诊断信息: 14 FF FF FF
3.中央配置 - 系统编程失败 - 配置无效/不兼容，Tester发送读取诊断故障信息：19 02 09
4. 故障排除，Tester发送查看当前故障和历史故障：19 02 09</t>
  </si>
  <si>
    <t>BaseTech_NetwaorkArchitecture_Diag_0139</t>
  </si>
  <si>
    <t>UDS_ReadDTCInformation(0x19)_ECU Supply Voltage Too High- Algorithm Based Failures- Event information（0xEE0368）</t>
  </si>
  <si>
    <t>1.Tester发送：10 01
2. Tester发送清除诊断信息: 14 FF FF FF
3.ECU 电源电压过高 - 基于算法的故障 - 事件信息，Tester发送读取诊断故障信息：19 02 09
4. 故障排除，Tester发送查看当前故障和历史故障：19 02 09</t>
  </si>
  <si>
    <t>BaseTech_NetwaorkArchitecture_Diag_0140</t>
  </si>
  <si>
    <t>UDS_ReadDTCInformation(0x19)_ECU Supply Voltage Too Low- Algorithm Based Failures- Event information（0xEE0468）</t>
  </si>
  <si>
    <t>1.Tester发送：10 01
2. Tester发送清除诊断信息: 14 FF FF FF
3.ECU 电源电压过低 - 基于算法的故障 - 事件信息，Tester发送读取诊断故障信息：19 02 09
4. 故障排除，Tester发送查看当前故障和历史故障：19 02 09</t>
  </si>
  <si>
    <t>BaseTech_NetwaorkArchitecture_Diag_0141</t>
  </si>
  <si>
    <t>UDS_ReadDTCInformation(0x19)_DigitalKey P12 not programmed- System Internal Failures- Incorrect component installed（0xEF874A）</t>
  </si>
  <si>
    <t>1.Tester发送：10 01
2. Tester发送清除诊断信息: 14 FF FF FF
3.DigitalKey P12 未编程 - 系统内部故障 - 安装了不正确的组件，Tester发送读取诊断故障信息：19 02 09
4. 故障排除，Tester发送查看当前故障和历史故障：19 02 09</t>
  </si>
  <si>
    <t>架构基础/网络架构/诊断刷写</t>
  </si>
  <si>
    <t>BaseTech_SoftwareUpdate_SoftwareUpdate_0001</t>
  </si>
  <si>
    <t xml:space="preserve"> Normal update test_A_B</t>
  </si>
  <si>
    <t>1. KL30 ON
2. KL15 ON
3. 功能正常</t>
  </si>
  <si>
    <t>1. 使用诊断仪连接DUT
2. 发送诊断指令10 01，确保成功连接
3. 加载bin升级包B和keyinfo，开始升级，从A到B</t>
  </si>
  <si>
    <t>1.DUT连接成功
2.肯定响应50 01
3.升级成功</t>
  </si>
  <si>
    <t>DPMS-5731,DPMS-5715,DPMS-5733</t>
  </si>
  <si>
    <t>BaseTech_SoftwareUpdate_SoftwareUpdate_0002</t>
  </si>
  <si>
    <t xml:space="preserve"> Normal update test_B_B_without precondition</t>
  </si>
  <si>
    <t xml:space="preserve">1. 使用诊断仪连接DUT
2. 发送诊断指令10 01，确保成功连接
3. 加载bin升级包B，开始升级，从B升级到B
</t>
  </si>
  <si>
    <t>BaseTech_SoftwareUpdate_SoftwareUpdate_0003</t>
  </si>
  <si>
    <t xml:space="preserve"> Normal update test_DUT roll back</t>
  </si>
  <si>
    <t xml:space="preserve">1. 使用诊断仪连接DUT
2. 发送诊断指令10 01，确保成功连接
3. 加载bin升级包A和keyinfo，开始升级，从B回退到A
</t>
  </si>
  <si>
    <t>BaseTech_SoftwareUpdate_SoftwareUpdate_0004</t>
  </si>
  <si>
    <t xml:space="preserve"> Abnormal update test_Tester_Crash</t>
  </si>
  <si>
    <t>1. 使用DSA诊断仪连接DUT
2. 发送诊断指令10 01，确保成功连接
3.加载某一版本bin升级包B，开始升级，在升级过程中使诊断仪断开/闪退
4. 重启BGM后，再次执行升级</t>
  </si>
  <si>
    <t>1.DUT连接成功
2.肯定响应50 01
3.升级停止
4. 升级成功</t>
  </si>
  <si>
    <t>BaseTech_SoftwareUpdate_SoftwareUpdate_0005</t>
  </si>
  <si>
    <t xml:space="preserve"> Normal update test_DUT with precondition</t>
  </si>
  <si>
    <t>1. KL30 ON
2. KL15 ON
3. 功能正常
4. 车速&lt; 3km/h(0.8333m/s) &amp; usagemode != Driving</t>
  </si>
  <si>
    <t>BaseTech_SoftwareUpdate_SoftwareUpdate_0006</t>
  </si>
  <si>
    <t xml:space="preserve"> Normal update test_DUT with precondition fail</t>
  </si>
  <si>
    <t>1. KL30 ON
2. KL15 ON
3. 功能正常
4. 车速&lt;= 3km/h(0.8334m/s) &amp; usagemode = Driving</t>
  </si>
  <si>
    <t>1.DUT连接成功
2.肯定响应50 01
3.升级失败，返回71 01 02 06 10 02, 1002切boot时给与否定响应且不切boot</t>
  </si>
  <si>
    <t>BaseTech_SoftwareUpdate_SoftwareUpdate_0007</t>
  </si>
  <si>
    <t>1. KL30 ON
2. KL15 ON
3. 功能正常
4. 车速&gt; 3km/h(0.8335m/s) &amp; usagemode = Driving</t>
  </si>
  <si>
    <t>BaseTech_SoftwareUpdate_SoftwareUpdate_0008</t>
  </si>
  <si>
    <t xml:space="preserve"> Normal update test_预置证书</t>
  </si>
  <si>
    <t>BaseTech_SoftwareUpdate_SoftwareUpdate_0009</t>
  </si>
  <si>
    <t xml:space="preserve"> Normal update test_诊断仪证书</t>
  </si>
  <si>
    <t>BaseTech_SoftwareUpdate_SoftwareUpdate_0010</t>
  </si>
  <si>
    <t xml:space="preserve"> Normal update test_诊断仪刷写</t>
  </si>
  <si>
    <t>Release_Version</t>
    <phoneticPr fontId="1" type="noConversion"/>
  </si>
  <si>
    <t>互联服务/远程状态/新能源监控</t>
  </si>
  <si>
    <t>Telematics_RemoteVehicleStatus_RTM_0001</t>
    <phoneticPr fontId="1" type="noConversion"/>
  </si>
  <si>
    <t>ParamCfg_RmsActivate_is_Activated</t>
  </si>
  <si>
    <t>1. TCAM与TSP建立连接
2. Car mode == Normal
3. Usage mode == Driving
4. TCAM能获取到有效的VIN和ICCID
5. HvSysRlySts == HvActnSts_Open
6. 已经与GB平台建立连接</t>
  </si>
  <si>
    <t>1. 通过远程参数配置，设置&lt;RmsActivate&gt;=Activated
2. 设置触发信号HvSysRlySts = HvActnSts_Clsd</t>
  </si>
  <si>
    <t>1.参数&lt;RmsActivate&gt; = Activated设置成功
2. 开始数据采集并上报</t>
  </si>
  <si>
    <t>V0.55</t>
    <phoneticPr fontId="1" type="noConversion"/>
  </si>
  <si>
    <t>Telematics_RemoteVehicleStatus_RTM_0002</t>
  </si>
  <si>
    <t>ParamCfg_RmsActivate_is_Deactivated</t>
  </si>
  <si>
    <t>1. 通过远程参数配置，设置&lt;RmsActivate&gt;=Deactivated
2. 设置触发信号HvSysRlySts = HvActnSts_Clsd</t>
  </si>
  <si>
    <t>1.参数&lt;RmsActivate&gt; = Deactivated设置成功
2. 不进行数据采集或上报</t>
  </si>
  <si>
    <t>Telematics_RemoteVehicleStatus_RTM_0003</t>
  </si>
  <si>
    <t>ParamCfg_RealtimePeriod_is_1s</t>
  </si>
  <si>
    <t>1. 通过远程参数配置，设置&lt;RealtimePeriod&gt;=1s
2. 设置触发信号HvSysRlySts = HvActnSts_Clsd</t>
  </si>
  <si>
    <t>1.参数&lt;RealtimePeriod&gt; = 1s设置成功
2. 车辆登入成功&amp;实时数据上报周期1s</t>
  </si>
  <si>
    <t>V0.55</t>
  </si>
  <si>
    <t>Telematics_RemoteVehicleStatus_RTM_0004</t>
  </si>
  <si>
    <t>ParamCfg_RealtimePeriod_is_10s(Default)</t>
  </si>
  <si>
    <t>1. 通过远程参数配置，设置&lt;RealtimePeriod&gt;=10s (default)
2. 设置触发信号HvSysRlySts = HvActnSts_Clsd</t>
  </si>
  <si>
    <t>1.参数&lt;RealtimePeriod&gt; = 10s设置成功
2. 车辆登入成功&amp;实时数据上报周期10s</t>
  </si>
  <si>
    <t>Telematics_RemoteVehicleStatus_RTM_0005</t>
  </si>
  <si>
    <t>ParamCfg_RealtimePeriod_is_30s</t>
  </si>
  <si>
    <t>1. 通过远程参数配置，设置&lt;RealtimePeriod&gt;=30s
2. 设置触发信号HvSysRlySts = HvActnSts_Clsd</t>
  </si>
  <si>
    <t>1.参数&lt;RealtimePeriod&gt; = 30s设置成功
2. 车辆登入成功&amp;实时数据上报周期30s</t>
  </si>
  <si>
    <t>Telematics_RemoteVehicleStatus_RTM_0006</t>
  </si>
  <si>
    <t>ParamCfg_SupplementPeriod_is_1s</t>
  </si>
  <si>
    <t>1. 通过远程参数配置，设置&lt;SupplementPeriod&gt;=1s
2. 设置触发信号HvSysRlySts = HvActnSts_Clsd</t>
  </si>
  <si>
    <t>1.参数&lt;SupplementPeriod&gt; = 1s设置成功
2. 车辆登入成功&amp;补发数据上报周期1s</t>
  </si>
  <si>
    <t>Telematics_RemoteVehicleStatus_RTM_0007</t>
  </si>
  <si>
    <t>ParamCfg_SupplementPeriod_is_2s（default)</t>
  </si>
  <si>
    <t>1. 通过远程参数配置，设置&lt;SupplementPeriod&gt;=2s (default)
2. 设置触发信号HvSysRlySts = HvActnSts_Clsd</t>
  </si>
  <si>
    <t>1.参数&lt;SupplementPeriod&gt; = 2s设置成功
2. 车辆登入成功&amp;补发数据上报周期2s</t>
  </si>
  <si>
    <t>Telematics_RemoteVehicleStatus_RTM_0008</t>
  </si>
  <si>
    <t>ParamCfg_SupplementPeriod_is_30s</t>
  </si>
  <si>
    <t>1. 通过远程参数配置，设置&lt;SupplementPeriod&gt;=30s
2. 设置触发信号HvSysRlySts = HvActnSts_Clsd</t>
  </si>
  <si>
    <t>1.参数&lt;SupplementPeriod&gt; = 30s设置成功
2. 车辆登入成功&amp;补发数据上报周期30s</t>
  </si>
  <si>
    <t>Telematics_RemoteVehicleStatus_RTM_0010</t>
  </si>
  <si>
    <t>ParamCfg_RmsUploadUrl_is_GB_server</t>
  </si>
  <si>
    <t>1. 通过远程参数配置，设置&lt;RmsUploadUrl&gt;=&lt;GB_server&gt;
2. 设置触发信号HvSysRlySts = HvActnSts_Clsd</t>
  </si>
  <si>
    <t>1.参数&lt;RmsUploadUrl&gt; = &lt;GB_server&gt;设置成功
2. 车辆发送登入请求/实时数据到&lt;GB_server&gt;</t>
  </si>
  <si>
    <t>Telematics_RemoteVehicleStatus_RTM_0011</t>
  </si>
  <si>
    <t>ParamCfg_RmsLoginDelayTime_is_0s（default)</t>
  </si>
  <si>
    <t>1. 通过远程参数配置，设置&lt;RmsLoginDelayTime&gt;=0s
2. 设置触发信号HvSysRlySts = HvActnSts_Clsd</t>
  </si>
  <si>
    <t>1.参数&lt;RmsLoginDelayTime&gt; = 0s设置成功
2. 车辆满足数据上报条件后，立刻登入平台</t>
  </si>
  <si>
    <t>Telematics_RemoteVehicleStatus_RTM_0012</t>
  </si>
  <si>
    <t>ParamCfg_RmsLoginDelayTime_is_30s</t>
  </si>
  <si>
    <t>1. 通过远程参数配置，设置&lt;RmsLoginDelayTime&gt;=30s
2. 设置触发信号HvSysRlySts = HvActnSts_Clsd</t>
  </si>
  <si>
    <t>1.参数&lt;RmsLoginDelayTime&gt; = 30s设置成功
2. 车辆满足数据上报条件后，等待30s后登入平台</t>
  </si>
  <si>
    <t>Telematics_RemoteVehicleStatus_RTM_0013</t>
  </si>
  <si>
    <t>ParamCfg_RmsLoginDelayTime_is_60s</t>
  </si>
  <si>
    <t>1. 通过远程参数配置，设置&lt;RmsLoginDelayTime&gt;=60s
2. 设置触发信号HvSysRlySts = HvActnSts_Clsd</t>
  </si>
  <si>
    <t>1.参数&lt;RmsLoginDelayTime&gt; = 60s设置成功
2. 车辆满足数据上报条件后，等待60s后登入平台</t>
  </si>
  <si>
    <t>Telematics_RemoteVehicleStatus_RTM_0014</t>
  </si>
  <si>
    <t>ParamCfg_RmsLogoutDelayTime_is_0s（default)</t>
  </si>
  <si>
    <t>1. TCAM与TSP建立连接
2. 已完成车辆登入、实时数据上报中</t>
  </si>
  <si>
    <t>1. 通过远程参数配置，设置&lt;RmsLogoutDelayTime&gt;=0s
2. 设置{HvActnSts} = not HvActnSts_Clsd (满足登出条件）</t>
  </si>
  <si>
    <t>1.参数&lt;RmsLogoutDelayTime&gt; = 0s设置成功
2. 车辆满足车辆登出条件后，立刻登出平台</t>
  </si>
  <si>
    <t>Telematics_RemoteVehicleStatus_RTM_0015</t>
  </si>
  <si>
    <t>ParamCfg_RmsLogoutDelayTime_is_30s</t>
  </si>
  <si>
    <t>1. 通过远程参数配置，设置&lt;RmsLogoutDelayTime&gt;=30s
2. 设置{HvActnSts} = not HvActnSts_Clsd (满足登出条件）</t>
  </si>
  <si>
    <t>1.参数&lt;RmsLogoutDelayTime&gt; = 30s设置成功
2. 车辆满足车辆登出条件后，等待30s后登出平台</t>
  </si>
  <si>
    <t>Telematics_RemoteVehicleStatus_RTM_0016</t>
  </si>
  <si>
    <t>ParamCfg_RmsLogoutDelayTime_is_60s</t>
  </si>
  <si>
    <t>1. 通过远程参数配置，设置&lt;RmsLogoutDelayTime&gt;=60s
2. 设置{HvActnSts} = not HvActnSts_Clsd (满足登出条件）</t>
  </si>
  <si>
    <t>1.参数&lt;RmsLogoutDelayTime&gt; = 60s设置成功
2. 车辆满足车辆登出条件后，等待60s后登出平台</t>
  </si>
  <si>
    <t>Telematics_RemoteVehicleStatus_RTM_0017</t>
  </si>
  <si>
    <t>ParamCfg_Heartbeat_is_1s</t>
  </si>
  <si>
    <t>1. TCAM与TSP建立连接
2. Car mode == Normal
3. Usage mode == Driving
4. TCAM能获取到有效的VIN和ICCID
5. HvSysRlySts == HvActnSts_Open</t>
  </si>
  <si>
    <t>1. 通过远程参数配置，设置&lt;Heartbeat&gt;=1s
2. 设置信号{HvActnSts} = HvActnSts_Clsd</t>
  </si>
  <si>
    <t>1.参数&lt;Heartbeat&gt; = 1s设置成功
2. 车辆登入平台后，心跳包1s发送1次</t>
  </si>
  <si>
    <t>Telematics_RemoteVehicleStatus_RTM_0018</t>
  </si>
  <si>
    <t>ParamCfg_Heartbeat_is_60s(default)</t>
  </si>
  <si>
    <t>1. 通过远程参数配置，设置&lt;Heartbeat&gt;=60s
2. 设置信号{HvActnSts} = HvActnSts_Clsd</t>
  </si>
  <si>
    <t>1.参数&lt;Heartbeat&gt; = 60s设置成功
2. 车辆登入平台后，心跳包60s发送1次</t>
  </si>
  <si>
    <t>Telematics_RemoteVehicleStatus_RTM_0019</t>
  </si>
  <si>
    <t>ParamCfg_Heartbeat_is_240s</t>
  </si>
  <si>
    <t>1. 通过远程参数配置，设置&lt;Heartbeat&gt;=240s
2. 设置信号{HvActnSts} = HvActnSts_Clsd</t>
  </si>
  <si>
    <t>1.参数&lt;Heartbeat&gt; = 240s设置成功
2. 车辆登入平台后，心跳包240s发送1次</t>
  </si>
  <si>
    <t>Telematics_RemoteVehicleStatus_RTM_0020</t>
  </si>
  <si>
    <t>ParamCfg_WarningPeriod_is_0s(default)</t>
  </si>
  <si>
    <t>1. 通过远程参数配置，设置&lt;WarningPeriod&gt;=0s
2. 设置信号{HvActnSts} = HvActnSts_Clsd
3. 依次触发绝缘报警的一二三级报警，间隔30秒并持续30秒</t>
  </si>
  <si>
    <t>1. 车辆登入平台后，实时数据正常上报
2. TCAM依次上报一二三级绝缘报警</t>
  </si>
  <si>
    <t>Telematics_RemoteVehicleStatus_RTM_0021</t>
  </si>
  <si>
    <t>ParamCfg_WarningPeriod_is_30s_interval_30s</t>
  </si>
  <si>
    <t>1. 通过远程参数配置，设置&lt;WarningPeriod&gt;=30s
2. 设置信号{HvActnSts} = HvActnSts_Clsd
3. 依次触发绝缘报警的一二三级报警，间隔60秒，每个报警持续30秒</t>
  </si>
  <si>
    <t>1. 车辆登入平台后，实时数据正常上报
2. TCAM无报警上报</t>
  </si>
  <si>
    <t>Telematics_RemoteVehicleStatus_RTM_0022</t>
  </si>
  <si>
    <t>ParamCfg_WarningPeriod_is_30s_interval_31s</t>
  </si>
  <si>
    <t>1. 通过远程参数配置，设置&lt;WarningPeriod&gt;=30s
2. 设置信号{HvActnSts} = HvActnSts_Clsd
3. 依次触发绝缘报警的一二三级报警，间隔60秒，每个报警持续31秒</t>
  </si>
  <si>
    <t>1. 车辆登入平台后，实时数据正常上报
2. TCAM一次上报了一二三级报警，且报警报文只有1帧，三级报警按照前30s+后29s进行上报</t>
  </si>
  <si>
    <t>Telematics_RemoteVehicleStatus_RTM_0023</t>
  </si>
  <si>
    <t>ParamCfg_WarningPeriod_is_60s_interval_60s</t>
  </si>
  <si>
    <t>1. 通过远程参数配置，设置&lt;WarningPeriod&gt;=60s
2. 设置信号{HvActnSts} = HvActnSts_Clsd
3. 依次触发绝缘报警的一二三级报警，间隔60秒，每个报警持续60秒</t>
  </si>
  <si>
    <t>Telematics_RemoteVehicleStatus_RTM_0024</t>
  </si>
  <si>
    <t>ParamCfg_WarningPeriod_is_60s_interval_61s</t>
  </si>
  <si>
    <t>1. 通过远程参数配置，设置&lt;WarningPeriod&gt;=60s
2. 设置信号{HvActnSts} = HvActnSts_Clsd
3. 依次触发绝缘报警的一二三级报警，间隔60秒，每个报警持续61秒</t>
  </si>
  <si>
    <t>Telematics_RemoteVehicleStatus_RTM_0025</t>
  </si>
  <si>
    <t>ParamCfg_WarningLevel_TemperatureDifferenceAlarm</t>
  </si>
  <si>
    <t>1. 通过远程参数配置，设置&lt;warning_level_1&gt;=0，设置信号{HvActnSts} = HvActnSts_Clsd，触发温度差异报警
2. 通过远程参数配置，设置&lt;warning_level_1&gt;=1，设置信号{HvActnSts} = HvActnSts_Open然后再设置为HvActnSts_Clsd，触发温度差异报警
3. 通过远程参数配置，设置&lt;warning_level_1&gt;=2，设置信号{HvActnSts} = HvActnSts_Open然后再设置为HvActnSts_Clsd，触发温度差异报警
4. 通过远程参数配置，设置&lt;warning_level_1&gt;=3，设置信号{HvActnSts} = HvActnSts_Open然后再设置为HvActnSts_Clsd，触发温度差异报警</t>
  </si>
  <si>
    <t>1. 车辆不上报报警信息
2. 车辆上报一级报警信息，且上报频率为1/RealtimePeriod Hz
3. 车辆上报二级报警信息，且上报频率为1/RealtimePeriod Hz
4. 车辆上报三级报警信息，且报警时刻以及报警前30秒和后29秒上报频率为1Hz</t>
  </si>
  <si>
    <t>Telematics_RemoteVehicleStatus_RTM_0026</t>
  </si>
  <si>
    <t>ParamCfg_WarningLevel_BatteryHighTemperatureAlarm</t>
  </si>
  <si>
    <t>1. 通过远程参数配置，设置&lt;warning_level_2&gt;=0，设置信号{HvActnSts} = HvActnSts_Clsd，触发电池高温报警
2. 通过远程参数配置，设置&lt;warning_level_2&gt;=1，设置信号{HvActnSts} = HvActnSts_Open然后再设置为HvActnSts_Clsd，触发电池高温报警
3. 通过远程参数配置，设置&lt;warning_level_2&gt;=2，设置信号{HvActnSts} = HvActnSts_Open然后再设置为HvActnSts_Clsd，触发电池高温报警
4. 通过远程参数配置，设置&lt;warning_level_2&gt;=3，设置信号{HvActnSts} = HvActnSts_Open然后再设置为HvActnSts_Clsd，触发电池高温报警</t>
  </si>
  <si>
    <t>Telematics_RemoteVehicleStatus_RTM_0027</t>
  </si>
  <si>
    <t>ParamCfg_WarningLevel_OverVoltageAlarmofEnergyStorageDevice</t>
  </si>
  <si>
    <t>1. 通过远程参数配置，设置&lt;warning_level_3&gt;=0，设置信号{HvActnSts} = HvActnSts_Clsd，触发车载储能装置类型过压报警
2. 通过远程参数配置，设置&lt;warning_level_3&gt;=1，设置信号{HvActnSts} = HvActnSts_Open然后再设置为HvActnSts_Clsd，触发车载储能装置类型过压报警
3. 通过远程参数配置，设置&lt;warning_level_3&gt;=2，设置信号{HvActnSts} = HvActnSts_Open然后再设置为HvActnSts_Clsd，触发车载储能装置类型过压报警
4. 通过远程参数配置，设置&lt;warning_level_3&gt;=3，设置信号{HvActnSts} = HvActnSts_Open然后再设置为HvActnSts_Clsd，触发车载储能装置类型过压报警</t>
  </si>
  <si>
    <t>Telematics_RemoteVehicleStatus_RTM_0028</t>
  </si>
  <si>
    <t>ParamCfg_WarningLevel_UnderVoltageAlarmofEnergyStorageDevice</t>
  </si>
  <si>
    <t>1. 通过远程参数配置，设置&lt;warning_level_4&gt;=0，设置信号{HvActnSts} = HvActnSts_Clsd，触发车载储能装置类型欠压报警
2. 通过远程参数配置，设置&lt;warning_level_4&gt;=1，设置信号{HvActnSts} = HvActnSts_Open然后再设置为HvActnSts_Clsd，触发车载储能装置类型过欠报警
3. 通过远程参数配置，设置&lt;warning_level_4&gt;=2，设置信号{HvActnSts} = HvActnSts_Open然后再设置为HvActnSts_Clsd，触发车载储能装置类型欠压报警
4. 通过远程参数配置，设置&lt;warning_level_4&gt;=3，设置信号{HvActnSts} = HvActnSts_Open然后再设置为HvActnSts_Clsd，触发车载储能装置类型欠压报警</t>
  </si>
  <si>
    <t>Telematics_RemoteVehicleStatus_RTM_0029</t>
  </si>
  <si>
    <t>ParamCfg_WarningLevel_LowSOCAlarm</t>
  </si>
  <si>
    <t>1. 通过远程参数配置，设置&lt;warning_level_5&gt;=0，设置信号{HvActnSts} = HvActnSts_Clsd，触发SOC低报警
2. 通过远程参数配置，设置&lt;warning_level_5&gt;=1，设置信号{HvActnSts} = HvActnSts_Open然后再设置为HvActnSts_Clsd，触发SOC低报警
3. 通过远程参数配置，设置&lt;warning_level_5&gt;=2，设置信号{HvActnSts} = HvActnSts_Open然后再设置为HvActnSts_Clsd，触发SOC低报警
4. 通过远程参数配置，设置&lt;warning_level_5&gt;=3，设置信号{HvActnSts} = HvActnSts_Open然后再设置为HvActnSts_Clsd，触发SOC低报警</t>
  </si>
  <si>
    <t>Telematics_RemoteVehicleStatus_RTM_0030</t>
  </si>
  <si>
    <t>ParamCfg_WarningLevel_OverVoltageAlarmofBatteryCell</t>
  </si>
  <si>
    <t>1. 通过远程参数配置，设置&lt;warning_level_6&gt;=0，设置信号{HvActnSts} = HvActnSts_Clsd，触发单体电池过压报警
2. 通过远程参数配置，设置&lt;warning_level_6&gt;=1，设置信号{HvActnSts} = HvActnSts_Open然后再设置为HvActnSts_Clsd，触发单体电池过压报警
3. 通过远程参数配置，设置&lt;warning_level_6&gt;=2，设置信号{HvActnSts} = HvActnSts_Open然后再设置为HvActnSts_Clsd，触发单体电池过压报警
4. 通过远程参数配置，设置&lt;warning_level_6&gt;=3，设置信号{HvActnSts} = HvActnSts_Open然后再设置为HvActnSts_Clsd，触发单体电池过压报警</t>
  </si>
  <si>
    <t>Telematics_RemoteVehicleStatus_RTM_0031</t>
  </si>
  <si>
    <t>ParamCfg_WarningLevel_UnderVoltageAlarmofBatteryCell</t>
  </si>
  <si>
    <t>1. 通过远程参数配置，设置&lt;warning_level_7&gt;=0，设置信号{HvActnSts} = HvActnSts_Clsd，触发单体电池欠压报警
2. 通过远程参数配置，设置&lt;warning_level_7&gt;=1，设置信号{HvActnSts} = HvActnSts_Open然后再设置为HvActnSts_Clsd，触发单体电池欠压报警
3. 通过远程参数配置，设置&lt;warning_level_7&gt;=2，设置信号{HvActnSts} = HvActnSts_Open然后再设置为HvActnSts_Clsd，触发单体电池欠压报警
4. 通过远程参数配置，设置&lt;warning_level_7&gt;=3，设置信号{HvActnSts} = HvActnSts_Open然后再设置为HvActnSts_Clsd，触发单体电池欠压报警</t>
  </si>
  <si>
    <t>Telematics_RemoteVehicleStatus_RTM_0032</t>
  </si>
  <si>
    <t>ParamCfg_WarningLevel_OverHighSOCAlarm</t>
  </si>
  <si>
    <t>1. 通过远程参数配置，设置&lt;warning_level_8&gt;=0，设置信号{HvActnSts} = HvActnSts_Clsd，触发SOC过高报警
2. 通过远程参数配置，设置&lt;warning_level_8&gt;=1，设置信号{HvActnSts} = HvActnSts_Open然后再设置为HvActnSts_Clsd，触发SOC过高报警
3. 通过远程参数配置，设置&lt;warning_level_8&gt;=2，设置信号{HvActnSts} = HvActnSts_Open然后再设置为HvActnSts_Clsd，触发SOC过高报警
4. 通过远程参数配置，设置&lt;warning_level_8&gt;=3，设置信号{HvActnSts} = HvActnSts_Open然后再设置为HvActnSts_Clsd，触发SOC过高报警</t>
  </si>
  <si>
    <t>Telematics_RemoteVehicleStatus_RTM_0033</t>
  </si>
  <si>
    <t>ParamCfg_WarningLevel_SOCJumpAlarm</t>
  </si>
  <si>
    <t>1. 通过远程参数配置，设置&lt;warning_level_9&gt;=0，设置信号{HvActnSts} = HvActnSts_Clsd，触发SOC跳变报警
2. 通过远程参数配置，设置&lt;warning_level_9&gt;=1，设置信号{HvActnSts} = HvActnSts_Open然后再设置为HvActnSts_Clsd，触发SOC跳变报警
3. 通过远程参数配置，设置&lt;warning_level_9&gt;=2，设置信号{HvActnSts} = HvActnSts_Open然后再设置为HvActnSts_Clsd，触发SOC跳变报警
4. 通过远程参数配置，设置&lt;warning_level_9&gt;=3，设置信号{HvActnSts} = HvActnSts_Open然后再设置为HvActnSts_Clsd，触发SOC跳变报警</t>
  </si>
  <si>
    <t>Telematics_RemoteVehicleStatus_RTM_0034</t>
  </si>
  <si>
    <t>ParamCfg_WarningLevel_RechargeableEnergyStorageSystemSismatchAlarm</t>
  </si>
  <si>
    <t>1. 通过远程参数配置，设置&lt;warning_level_10&gt;=0，设置信号{HvActnSts} = HvActnSts_Clsd，触发可充电储能系统不匹配报警
2. 通过远程参数配置，设置&lt;warning_level_10&gt;=1，设置信号{HvActnSts} = HvActnSts_Open然后再设置为HvActnSts_Clsd，触发可充电储能系统不匹配报警
3. 通过远程参数配置，设置&lt;warning_level_10&gt;=2，设置信号{HvActnSts} = HvActnSts_Open然后再设置为HvActnSts_Clsd，触发可充电储能系统不匹配报警
4. 通过远程参数配置，设置&lt;warning_level_10&gt;=3，设置信号{HvActnSts} = HvActnSts_Open然后再设置为HvActnSts_Clsd，触发可充电储能系统不匹配报警</t>
  </si>
  <si>
    <t>Telematics_RemoteVehicleStatus_RTM_0035</t>
  </si>
  <si>
    <t>ParamCfg_WarningLevel_PoorBatteryCellConsistencyAlarm</t>
  </si>
  <si>
    <t>1. 通过远程参数配置，设置&lt;warning_level_11&gt;=0，设置信号{HvActnSts} = HvActnSts_Clsd，触发电池单体一致性差报警
2. 通过远程参数配置，设置&lt;warning_level_11&gt;=1，设置信号{HvActnSts} = HvActnSts_Open然后再设置为HvActnSts_Clsd，触发电池单体一致性差报警
3. 通过远程参数配置，设置&lt;warning_level_11&gt;=2，设置信号{HvActnSts} = HvActnSts_Open然后再设置为HvActnSts_Clsd，触发电池单体一致性差报警
4. 通过远程参数配置，设置&lt;warning_level_11&gt;=3，设置信号{HvActnSts} = HvActnSts_Open然后再设置为HvActnSts_Clsd，触发电池单体一致性差报警</t>
  </si>
  <si>
    <t>Telematics_RemoteVehicleStatus_RTM_0036</t>
  </si>
  <si>
    <t>ParamCfg_WarningLevel_InsulationAlarm</t>
  </si>
  <si>
    <t>1. 通过远程参数配置，设置&lt;warning_level_12&gt;=0，设置信号{HvActnSts} = HvActnSts_Clsd，触发绝缘报警
2. 通过远程参数配置，设置&lt;warning_level_12&gt;=1，设置信号{HvActnSts} = HvActnSts_Open然后再设置为HvActnSts_Clsd，触发绝缘报警
3. 通过远程参数配置，设置&lt;warning_level_12&gt;=2，设置信号{HvActnSts} = HvActnSts_Open然后再设置为HvActnSts_Clsd，触发绝缘报警
4. 通过远程参数配置，设置&lt;warning_level_12&gt;=3，设置信号{HvActnSts} = HvActnSts_Open然后再设置为HvActnSts_Clsd，触发绝缘报警</t>
  </si>
  <si>
    <t>Telematics_RemoteVehicleStatus_RTM_0037</t>
  </si>
  <si>
    <t>ParamCfg_WarningLevel_DCDCTemperatureAlarm</t>
  </si>
  <si>
    <t>1. 通过远程参数配置，设置&lt;warning_level_13&gt;=0，设置信号{HvActnSts} = HvActnSts_Clsd，触发DC~DC温度报警
2. 通过远程参数配置，设置&lt;warning_level_13&gt;=1，设置信号{HvActnSts} = HvActnSts_Open然后再设置为HvActnSts_Clsd，触发DC~DC温度报警
3. 通过远程参数配置，设置&lt;warning_level_13&gt;=2，设置信号{HvActnSts} = HvActnSts_Open然后再设置为HvActnSts_Clsd，触发DC~DC温度报警
4. 通过远程参数配置，设置&lt;warning_level_13&gt;=3，设置信号{HvActnSts} = HvActnSts_Open然后再设置为HvActnSts_Clsd，触发DC~DC温度报警</t>
  </si>
  <si>
    <t>Telematics_RemoteVehicleStatus_RTM_0038</t>
  </si>
  <si>
    <t>ParamCfg_WarningLevel_BrakeSystemWarning</t>
  </si>
  <si>
    <t>1. 通过远程参数配置，设置&lt;warning_level_14&gt;=0，设置信号{HvActnSts} = HvActnSts_Clsd，触发制动系统报警
2. 通过远程参数配置，设置&lt;warning_level_14&gt;=1，设置信号{HvActnSts} = HvActnSts_Open然后再设置为HvActnSts_Clsd，触发制动系统报警
3. 通过远程参数配置，设置&lt;warning_level_14&gt;=2，设置信号{HvActnSts} = HvActnSts_Open然后再设置为HvActnSts_Clsd，触发制动系统报警
4. 通过远程参数配置，设置&lt;warning_level_14&gt;=3，设置信号{HvActnSts} = HvActnSts_Open然后再设置为HvActnSts_Clsd，触发制动系统报警</t>
  </si>
  <si>
    <t>Telematics_RemoteVehicleStatus_RTM_0039</t>
  </si>
  <si>
    <t>ParamCfg_WarningLevel_DCDCStatusAlarm</t>
  </si>
  <si>
    <t>1. 通过远程参数配置，设置&lt;warning_level_15&gt;=0，设置信号{HvActnSts} = HvActnSts_Clsd，触发DC~DC状态报警
2. 通过远程参数配置，设置&lt;warning_level_15&gt;=1，设置信号{HvActnSts} = HvActnSts_Open然后再设置为HvActnSts_Clsd，触发DC~DC状态报警
3. 通过远程参数配置，设置&lt;warning_level_15&gt;=2，设置信号{HvActnSts} = HvActnSts_Open然后再设置为HvActnSts_Clsd，触发DC~DC状态报警
4. 通过远程参数配置，设置&lt;warning_level_15&gt;=3，设置信号{HvActnSts} = HvActnSts_Open然后再设置为HvActnSts_Clsd，触发DC~DC状态报警</t>
  </si>
  <si>
    <t>Telematics_RemoteVehicleStatus_RTM_0040</t>
  </si>
  <si>
    <t>ParamCfg_WarningLevel_DriveMotorControllerTemperatureAlarm</t>
  </si>
  <si>
    <t>1. 通过远程参数配置，设置&lt;warning_level_16&gt;=0，设置信号{HvActnSts} = HvActnSts_Clsd，触发驱动电机控制器温度报警
2. 通过远程参数配置，设置&lt;warning_level_16&gt;=1，设置信号{HvActnSts} = HvActnSts_Open然后再设置为HvActnSts_Clsd，触发驱动电机控制器温度报警
3. 通过远程参数配置，设置&lt;warning_level_16&gt;=2，设置信号{HvActnSts} = HvActnSts_Open然后再设置为HvActnSts_Clsd，触发驱动电机控制器温度报警
4. 通过远程参数配置，设置&lt;warning_level_16&gt;=3，设置信号{HvActnSts} = HvActnSts_Open然后再设置为HvActnSts_Clsd，触发驱动电机控制器温度报警</t>
  </si>
  <si>
    <t>Telematics_RemoteVehicleStatus_RTM_0041</t>
  </si>
  <si>
    <t>ParamCfg_WarningLevel_HighVoltageInterlock</t>
  </si>
  <si>
    <t>1. 通过远程参数配置，设置&lt;warning_level_17&gt;=0，设置信号{HvActnSts} = HvActnSts_Clsd，触发高压互锁状态报警
2. 通过远程参数配置，设置&lt;warning_level_17&gt;=1，设置信号{HvActnSts} = HvActnSts_Open然后再设置为HvActnSts_Clsd，触发高压互锁状态报警
3. 通过远程参数配置，设置&lt;warning_level_17&gt;=2，设置信号{HvActnSts} = HvActnSts_Open然后再设置为HvActnSts_Clsd，触发高压互锁状态报警
4. 通过远程参数配置，设置&lt;warning_level_17&gt;=3，设置信号{HvActnSts} = HvActnSts_Open然后再设置为HvActnSts_Clsd，触发高压互锁状态报警</t>
  </si>
  <si>
    <t>Telematics_RemoteVehicleStatus_RTM_0042</t>
  </si>
  <si>
    <t>ParamCfg_WarningLevel_DriveMotorTemperatureAlarm</t>
  </si>
  <si>
    <t>1. 通过远程参数配置，设置&lt;warning_level_18&gt;=0，设置信号{HvActnSts} = HvActnSts_Clsd，触发驱动电机温度报警
2. 通过远程参数配置，设置&lt;warning_level_18&gt;=1，设置信号{HvActnSts} = HvActnSts_Open然后再设置为HvActnSts_Clsd，触发驱动电机温度报警
3. 通过远程参数配置，设置&lt;warning_level_18&gt;=2，设置信号{HvActnSts} = HvActnSts_Open然后再设置为HvActnSts_Clsd，触发驱动电机温度报警
4. 通过远程参数配置，设置&lt;warning_level_18&gt;=3，设置信号{HvActnSts} = HvActnSts_Open然后再设置为HvActnSts_Clsd，触发驱动电机温度报警</t>
  </si>
  <si>
    <t>Telematics_RemoteVehicleStatus_RTM_0043</t>
  </si>
  <si>
    <t>ParamCfg_WarningLevel_OverchargeAlarmofEnergyStorageDevice</t>
  </si>
  <si>
    <t>1. 通过远程参数配置，设置&lt;warning_level_19&gt;=0，设置信号{HvActnSts} = HvActnSts_Clsd，触发车载储能装置类型过充报警
2. 通过远程参数配置，设置&lt;warning_level_19&gt;=1，设置信号{HvActnSts} = HvActnSts_Open然后再设置为HvActnSts_Clsd，触发车载储能装置类型过充报警
3. 通过远程参数配置，设置&lt;warning_level_19&gt;=2，设置信号{HvActnSts} = HvActnSts_Open然后再设置为HvActnSts_Clsd，触发车载储能装置类型过充报警
4. 通过远程参数配置，设置&lt;warning_level_19&gt;=3，设置信号{HvActnSts} = HvActnSts_Open然后再设置为HvActnSts_Clsd，触发车载储能装置类型过充报警</t>
  </si>
  <si>
    <t>Telematics_RemoteVehicleStatus_RTM_0044</t>
  </si>
  <si>
    <t>DataCollect_trigger_CarMode_Normal_UsageMode_Driving</t>
  </si>
  <si>
    <t>1. Car mode == Normal
2. Usage mode == Driving
3. RMS 服务开启：远程配置参数 RMS_Activate == activated
4. TCAM能获取到有效的VIN和ICCID
5. HvSysRlySts == HvActnSts_Open</t>
  </si>
  <si>
    <t>1. 设置触发信号HvSysRlySts = HvActnSts_Clsd</t>
  </si>
  <si>
    <t>1. TCAM开始采集数据，且数据采集频率大于等于1Hz
2. TCAM把采集到的数据缓存在RAM，缓存时间需大于等于30s</t>
  </si>
  <si>
    <t>Telematics_RemoteVehicleStatus_RTM_0045</t>
  </si>
  <si>
    <t>DataCollect_trigger_CarMode_Normal_UsageMode_Active</t>
  </si>
  <si>
    <t>1. Car mode == Normal
2. Usage mode == Active
3. RMS 服务开启：远程配置参数 RMS_Activate == activated
4. TCAM能获取到有效的VIN和ICCID
5. HvSysRlySts == HvActnSts_Open</t>
  </si>
  <si>
    <t>Telematics_RemoteVehicleStatus_RTM_0046</t>
  </si>
  <si>
    <t>DataCollect_trigger_CarMode_Normal_UsageMode_Convenience</t>
  </si>
  <si>
    <t>1. Car mode == Normal
2. Usage mode == Convenience
3. RMS 服务开启：远程配置参数 RMS_Activate == activated
4. TCAM能获取到有效的VIN和ICCID
5. HvSysRlySts == HvActnSts_Open</t>
  </si>
  <si>
    <t>Telematics_RemoteVehicleStatus_RTM_0047</t>
  </si>
  <si>
    <t>DataCollect_trigger_CarMode_Normal_UsageMode_Inactive</t>
  </si>
  <si>
    <t>1. Car mode == Normal
2. Usage mode == Inactive
3. RMS 服务开启：远程配置参数 RMS_Activate == activated
4. TCAM能获取到有效的VIN和ICCID
5. HvSysRlySts == HvActnSts_Open</t>
  </si>
  <si>
    <t>Telematics_RemoteVehicleStatus_RTM_0048</t>
  </si>
  <si>
    <t>DataCollect_trigger_CarMode_Dyno_UsageMode_Driving</t>
  </si>
  <si>
    <t>1. Car mode == Dyno
2. Usage mode == Driving
3. RMS 服务开启：远程配置参数 RMS_Activate == activated
4. TCAM能获取到有效的VIN和ICCID
5. HvSysRlySts == HvActvnSts_KeepSt</t>
  </si>
  <si>
    <t>Telematics_RemoteVehicleStatus_RTM_0049</t>
  </si>
  <si>
    <t>DataCollect_trigger_CarMode_Dyno_UsageMode_Active</t>
  </si>
  <si>
    <t>1. Car mode == Dyno
2. Usage mode == Active
3. RMS 服务开启：远程配置参数 RMS_Activate == activated
4. TCAM能获取到有效的VIN和ICCID
5. HvSysRlySts == HvActvnSts_KeepSt</t>
  </si>
  <si>
    <t>Telematics_RemoteVehicleStatus_RTM_0050</t>
  </si>
  <si>
    <t>DataCollect_trigger_CarMode_Dyno_UsageMode_Convenience</t>
  </si>
  <si>
    <t>1. Car mode == Dyno
2. Usage mode == Convenience
3. RMS 服务开启：远程配置参数 RMS_Activate == activated
4. TCAM能获取到有效的VIN和ICCID
5. HvSysRlySts == HvActvnSts_KeepSt</t>
  </si>
  <si>
    <t>Telematics_RemoteVehicleStatus_RTM_0051</t>
  </si>
  <si>
    <t>DataCollect_trigger_CarMode_Dyno_UsageMode_Inactive</t>
  </si>
  <si>
    <t>1. Car mode == Dyno
2. Usage mode == Inactive
3. RMS 服务开启：远程配置参数 RMS_Activate == activated
4. TCAM能获取到有效的VIN和ICCID
5. HvSysRlySts == HvActvnSts_KeepSt</t>
  </si>
  <si>
    <t>Telematics_RemoteVehicleStatus_RTM_0052</t>
  </si>
  <si>
    <t>DataCollect_trigger_CarMode_Crash_UsageMode_Driving</t>
  </si>
  <si>
    <t>1. Car mode == Crash
2. Usage mode == Driving
3. RMS 服务开启：远程配置参数 RMS_Activate == activated
4. TCAM能获取到有效的VIN和ICCID
5. HvSysRlySts == HvActvnSts_OpenAndReqActvDcha</t>
  </si>
  <si>
    <t>Telematics_RemoteVehicleStatus_RTM_0053</t>
  </si>
  <si>
    <t>DataCollect_trigger_CarMode_Crash_UsageMode_Active</t>
  </si>
  <si>
    <t>1. Car mode == Crash
2. Usage mode == Active
3. RMS 服务开启：远程配置参数 RMS_Activate == activated
4. TCAM能获取到有效的VIN和ICCID
5. HvSysRlySts == HvActvnSts_OpenAndReqActvDcha</t>
  </si>
  <si>
    <t>Telematics_RemoteVehicleStatus_RTM_0054</t>
  </si>
  <si>
    <t>DataCollect_trigger_CarMode_Crash_UsageMode_Convenience</t>
  </si>
  <si>
    <t>1. Car mode == Crash
2. Usage mode == Convenience
3. RMS 服务开启：远程配置参数 RMS_Activate == activated
4. TCAM能获取到有效的VIN和ICCID
5. HvSysRlySts == HvActvnSts_OpenAndReqActvDcha</t>
  </si>
  <si>
    <t>Telematics_RemoteVehicleStatus_RTM_0055</t>
  </si>
  <si>
    <t>DataCollect_trigger_CarMode_Crash_UsageMode_Inactive</t>
  </si>
  <si>
    <t>1. Car mode == Crash
2. Usage mode == Inactive
3. RMS 服务开启：远程配置参数 RMS_Activate == activated
4. TCAM能获取到有效的VIN和ICCID
5. HvSysRlySts == HvActvnSts_OpenAndReqActvDcha</t>
  </si>
  <si>
    <t>Telematics_RemoteVehicleStatus_RTM_0056</t>
  </si>
  <si>
    <t>DataCollect_exit_by_HvSysRlySts_Open</t>
  </si>
  <si>
    <t>1. TCAM处于数据采集状态</t>
  </si>
  <si>
    <t>1. 设置触发信号HvSysRlySts = HvActnSts_Open</t>
  </si>
  <si>
    <t>1. TCAM停止采集数据
2. TCAM将缓存中的数据存放到本地EMMC中</t>
  </si>
  <si>
    <t>Telematics_RemoteVehicleStatus_RTM_0057</t>
  </si>
  <si>
    <t>DataCollect_exit_by_HvSysRlySts_KeepSt</t>
  </si>
  <si>
    <t>1. 设置触发信号HvSysRlySts = HvActvnSts_KeepSt</t>
  </si>
  <si>
    <t>Telematics_RemoteVehicleStatus_RTM_0058</t>
  </si>
  <si>
    <t>DataCollect_exit_by_HvSysRlySts_OpenAndReqActvDcha</t>
  </si>
  <si>
    <t>1. 设置触发信号HvSysRlySts = HvActvnSts_OpenAndReqActvDcha</t>
  </si>
  <si>
    <t>Telematics_RemoteVehicleStatus_RTM_0059</t>
  </si>
  <si>
    <t>DataCollect_Precondition_Mismatch_CarMode_Factory</t>
  </si>
  <si>
    <t>1. Car mode == Factory
2. Usage mode == Driving
3. RMS 服务开启：远程配置参数 RMS_Activate == activated
4. TCAM能获取到有效的VIN和ICCID
5. HvSysRlySts == HvActnSts_Open</t>
  </si>
  <si>
    <t>1. TCAM不会开始采集数据</t>
  </si>
  <si>
    <t>Telematics_RemoteVehicleStatus_RTM_0060</t>
  </si>
  <si>
    <t>DataCollect_Precondition_Mismatch_CarMode_Transport</t>
  </si>
  <si>
    <t>1. Car mode == Transport
2. Usage mode == Driving
3. RMS 服务开启：远程配置参数 RMS_Activate == activated
4. TCAM能获取到有效的VIN和ICCID
5. HvSysRlySts == HvActnSts_Open</t>
  </si>
  <si>
    <t>Telematics_RemoteVehicleStatus_RTM_0061</t>
  </si>
  <si>
    <t>DataCollect_Precondition_Mismatch_UsageMode_Abandoned</t>
  </si>
  <si>
    <t>1. Car mode == Normal
2. Usage mode == Abandoned
3. RMS 服务开启：远程配置参数 RMS_Activate == activated
4. TCAM能获取到有效的VIN和ICCID
5. HvSysRlySts == HvActnSts_Open</t>
  </si>
  <si>
    <t>Telematics_RemoteVehicleStatus_RTM_0062</t>
  </si>
  <si>
    <t>DataCollect_Precondition_Mismatch_RMSActive_deactivated</t>
  </si>
  <si>
    <t>1. Car mode == Normal
2. Usage mode == Driving
3. RMS 服务开启：远程配置参数 RMS_Activate == deactivated
4. TCAM能获取到有效的VIN和ICCID
5. HvSysRlySts == HvActnSts_Open</t>
  </si>
  <si>
    <t>Telematics_RemoteVehicleStatus_RTM_0063</t>
  </si>
  <si>
    <t>DataCollect_Precondition_Mismatch_VIN_invalid</t>
  </si>
  <si>
    <t>1. Car mode == Normal
2. Usage mode == Driving
3. RMS 服务开启：远程配置参数 RMS_Activate == activated
4. TCAM能获取到有效的ICCID
5. 设置VIN为无效值
6. HvSysRlySts == HvActnSts_Open</t>
  </si>
  <si>
    <t>Telematics_RemoteVehicleStatus_RTM_0064</t>
  </si>
  <si>
    <t>DataCollect_Precondition_Mismatch_ICCID_invalid</t>
  </si>
  <si>
    <t>1. Car mode == Normal
2. Usage mode == Driving
3. RMS 服务开启：远程配置参数 RMS_Activate == activated
4. TCAM能获取到有效的VIN
5. 设置ICCID为无效值
6. HvSysRlySts == HvActnSts_Open</t>
  </si>
  <si>
    <t>Telematics_RemoteVehicleStatus_RTM_0065</t>
  </si>
  <si>
    <t>LoginLogout_successfully_when_CarMode_Normal_UsageMode_Driving</t>
  </si>
  <si>
    <t>1. Car mode == Normal
2. Usage mode == Driving
3. RMS 服务开启：远程配置参数 RMS_Activate == activated
4. TCAM能获取到有效的VIN和ICCID
5. HvSysRlySts == HvActnSts_Open
6. RMS_Login_Delay_Time == RMS_Logout_Delay_Time = 0s
7. 已经连接GB平台</t>
  </si>
  <si>
    <t>1. 设置信号HvSysRlySts = HvActnSts_Clsd
2. 设置信号HvSysRlySts = HvActnSts_Open</t>
  </si>
  <si>
    <t>1. TCAM发送登入消息到云端，并开始发送实时数据
2. TCAM发送登出消息到云端，并停止实时数据</t>
  </si>
  <si>
    <t>Telematics_RemoteVehicleStatus_RTM_0066</t>
  </si>
  <si>
    <t>LoginLogout_successfully_when_CarMode_Normal_UsageMode_Active</t>
  </si>
  <si>
    <t>1. Car mode == Normal
2. Usage mode == Active
3. RMS 服务开启：远程配置参数 RMS_Activate == activated
4. TCAM能获取到有效的VIN和ICCID
5. HvSysRlySts == HvActnSts_Open
6. RMS_Login_Delay_Time == RMS_Logout_Delay_Time = 0s
7. 已经连接GB平台</t>
  </si>
  <si>
    <t>Telematics_RemoteVehicleStatus_RTM_0067</t>
  </si>
  <si>
    <t>LoginLogout_successfully_when_CarMode_Normal_UsageMode_Convenience</t>
  </si>
  <si>
    <t>1. Car mode == Normal
2. Usage mode == Convenience
3. RMS 服务开启：远程配置参数 RMS_Activate == activated
4. TCAM能获取到有效的VIN和ICCID
5. HvSysRlySts == HvActnSts_Open
6. RMS_Login_Delay_Time == RMS_Logout_Delay_Time = 0s
7. 已经连接GB平台</t>
  </si>
  <si>
    <t>Telematics_RemoteVehicleStatus_RTM_0068</t>
  </si>
  <si>
    <t>LoginLogout_successfully_when_CarMode_Normal_UsageMode_Inactive</t>
  </si>
  <si>
    <t>1. Car mode == Normal
2. Usage mode == Inactive
3. RMS 服务开启：远程配置参数 RMS_Activate == activated
4. TCAM能获取到有效的VIN和ICCID
5. HvSysRlySts == HvActnSts_Open
6. RMS_Login_Delay_Time == RMS_Logout_Delay_Time = 0s
7. 已经连接GB平台</t>
  </si>
  <si>
    <t>Telematics_RemoteVehicleStatus_RTM_0069</t>
  </si>
  <si>
    <t>LoginLogout_successfully_when_CarMode_Dyno_UsageMode_Driving</t>
  </si>
  <si>
    <t>1. Car mode == Dyno
2. Usage mode == Driving
3. RMS 服务开启：远程配置参数 RMS_Activate == activated
4. TCAM能获取到有效的VIN和ICCID
5. HvSysRlySts == HvActvnSts_KeepSt
6. RMS_Login_Delay_Time == RMS_Logout_Delay_Time = 0s
7. 已经连接GB平台</t>
  </si>
  <si>
    <t>Telematics_RemoteVehicleStatus_RTM_0070</t>
  </si>
  <si>
    <t>LoginLogout_successfully_when_CarMode_Dyno_UsageMode_Active</t>
  </si>
  <si>
    <t>1. Car mode == Dyno
2. Usage mode == Active
3. RMS 服务开启：远程配置参数 RMS_Activate == activated
4. TCAM能获取到有效的VIN和ICCID
5. HvSysRlySts == HvActvnSts_KeepSt
6. RMS_Login_Delay_Time == RMS_Logout_Delay_Time = 0s
7. 已经连接GB平台</t>
  </si>
  <si>
    <t>Telematics_RemoteVehicleStatus_RTM_0071</t>
  </si>
  <si>
    <t>LoginLogout_successfully_when_CarMode_Dyno_UsageMode_Convenience</t>
  </si>
  <si>
    <t>1. Car mode == Dyno
2. Usage mode == Convenience
3. RMS 服务开启：远程配置参数 RMS_Activate == activated
4. TCAM能获取到有效的VIN和ICCID
5. HvSysRlySts == HvActvnSts_KeepSt
6. RMS_Login_Delay_Time == RMS_Logout_Delay_Time = 0s
7. 已经连接GB平台</t>
  </si>
  <si>
    <t>Telematics_RemoteVehicleStatus_RTM_0072</t>
  </si>
  <si>
    <t>LoginLogout_successfully_when_CarMode_Dyno_UsageMode_Inactive</t>
  </si>
  <si>
    <t>1. Car mode == Dyno
2. Usage mode == Inactive
3. RMS 服务开启：远程配置参数 RMS_Activate == activated
4. TCAM能获取到有效的VIN和ICCID
5. HvSysRlySts == HvActvnSts_KeepSt
6. RMS_Login_Delay_Time == RMS_Logout_Delay_Time = 0s
7. 已经连接GB平台</t>
  </si>
  <si>
    <t>Telematics_RemoteVehicleStatus_RTM_0073</t>
  </si>
  <si>
    <t>LoginLogout_successfully_when_CarMode_Crash_UsageMode_Driving</t>
  </si>
  <si>
    <t>1. Car mode == Crash
2. Usage mode == Driving
3. RMS 服务开启：远程配置参数 RMS_Activate == activated
4. TCAM能获取到有效的VIN和ICCID
5. HvSysRlySts == HvActvnSts_OpenAndReqActvDcha
6. RMS_Login_Delay_Time == RMS_Logout_Delay_Time = 0s
7. 已经连接GB平台</t>
  </si>
  <si>
    <t>Telematics_RemoteVehicleStatus_RTM_0074</t>
  </si>
  <si>
    <t>LoginLogout_successfully_when_CarMode_Crash_UsageMode_Active</t>
  </si>
  <si>
    <t>1. Car mode == Crash
2. Usage mode == Active
3. RMS 服务开启：远程配置参数 RMS_Activate == activated
4. TCAM能获取到有效的VIN和ICCID
5. HvSysRlySts == HvActvnSts_OpenAndReqActvDcha
6. RMS_Login_Delay_Time == RMS_Logout_Delay_Time = 0s
7. 已经连接GB平台</t>
  </si>
  <si>
    <t>Telematics_RemoteVehicleStatus_RTM_0075</t>
  </si>
  <si>
    <t>LoginLogout_successfully_when_CarMode_Crash_UsageMode_Convenience</t>
  </si>
  <si>
    <t>1. Car mode == Crash
2. Usage mode == Convenience
3. RMS 服务开启：远程配置参数 RMS_Activate == activated
4. TCAM能获取到有效的VIN和ICCID
5. HvSysRlySts == HvActvnSts_OpenAndReqActvDcha
6. RMS_Login_Delay_Time == RMS_Logout_Delay_Time = 0s
7. 已经连接GB平台</t>
  </si>
  <si>
    <t>Telematics_RemoteVehicleStatus_RTM_0076</t>
  </si>
  <si>
    <t>LoginLogout_successfully_when_CarMode_Crash_UsageMode_Inactive</t>
  </si>
  <si>
    <t>1. Car mode == Crash
2. Usage mode == Inactive
3. RMS 服务开启：远程配置参数 RMS_Activate == activated
4. TCAM能获取到有效的VIN和ICCID
5. HvSysRlySts == HvActvnSts_OpenAndReqActvDcha
6. RMS_Login_Delay_Time == RMS_Logout_Delay_Time = 0s
7. 已经连接GB平台</t>
  </si>
  <si>
    <t>Telematics_RemoteVehicleStatus_RTM_0077</t>
  </si>
  <si>
    <t>LoginLogout_Precondition_Mismatch_CarMode_Factory</t>
  </si>
  <si>
    <t>1. Car mode == Factory
2. Usage mode == Driving
3. RMS 服务开启：远程配置参数 RMS_Activate == activated
4. TCAM能获取到有效的VIN和ICCID
5. HvSysRlySts == HvActnSts_Open
6. RMS_Login_Delay_Time == RMS_Logout_Delay_Time = 0s
7. 已经连接GB平台</t>
  </si>
  <si>
    <t>1. 设置信号HvSysRlySts = HvActnSts_Clsd</t>
  </si>
  <si>
    <t>1. TCAM不会发送登入消息到云端</t>
  </si>
  <si>
    <t>Telematics_RemoteVehicleStatus_RTM_0078</t>
  </si>
  <si>
    <t>LoginLogout_Precondition_Mismatch_CarMode_Transport</t>
  </si>
  <si>
    <t>1. Car mode == Transport
2. Usage mode == Driving
3. RMS 服务开启：远程配置参数 RMS_Activate == activated
4. TCAM能获取到有效的VIN和ICCID
5. HvSysRlySts == HvActnSts_Open
6. RMS_Login_Delay_Time == RMS_Logout_Delay_Time = 0s
7. 已经连接GB平台</t>
  </si>
  <si>
    <t>Telematics_RemoteVehicleStatus_RTM_0079</t>
  </si>
  <si>
    <t>LoginLogout_Precondition_Mismatch_UsageMode_Abandoned</t>
  </si>
  <si>
    <t>1. Car mode == Normal
2. Usage mode == Abandoned
3. RMS 服务开启：远程配置参数 RMS_Activate == activated
4. TCAM能获取到有效的VIN和ICCID
5. HvSysRlySts == HvActnSts_Open
6. RMS_Login_Delay_Time == RMS_Logout_Delay_Time = 0s
7. 已经连接GB平台</t>
  </si>
  <si>
    <t>Telematics_RemoteVehicleStatus_RTM_0080</t>
  </si>
  <si>
    <t>LoginLogout_Precondition_Mismatch_RMSActive_deactivated</t>
  </si>
  <si>
    <t>1. Car mode == Normal
2. Usage mode == Driving
3. RMS 服务开启：远程配置参数 RMS_Activate == deactivated
4. TCAM能获取到有效的VIN和ICCID
5. HvSysRlySts == HvActnSts_Open
6. RMS_Login_Delay_Time == RMS_Logout_Delay_Time = 0s
7. 已经连接GB平台</t>
  </si>
  <si>
    <t>Telematics_RemoteVehicleStatus_RTM_0081</t>
  </si>
  <si>
    <t>LoginLogout_Precondition_Mismatch_VIN_invalid</t>
  </si>
  <si>
    <t>1. Car mode == Normal
2. Usage mode == Driving
3. RMS 服务开启：远程配置参数 RMS_Activate == activated
4. TCAM能获取到有效的ICCID
5. 设置VIN为无效值
6. HvSysRlySts == HvActnSts_Open
6. RMS_Login_Delay_Time == RMS_Logout_Delay_Time = 0s
7. 已经连接JIDU平台</t>
  </si>
  <si>
    <t>Telematics_RemoteVehicleStatus_RTM_0082</t>
  </si>
  <si>
    <t>LoginLogout_Precondition_Mismatch_ICCID_invalid</t>
  </si>
  <si>
    <t>1. Car mode == Normal
2. Usage mode == Driving
3. RMS 服务开启：远程配置参数 RMS_Activate == activated
4. TCAM能获取到有效的VIN
5. 设置ICCID为无效值
6. HvSysRlySts == HvActnSts_Open
6. RMS_Login_Delay_Time == RMS_Logout_Delay_Time = 0s
7. 已经连接GB平台</t>
  </si>
  <si>
    <t>Telematics_RemoteVehicleStatus_RTM_0083</t>
  </si>
  <si>
    <t>LoginLogout_successfully_with_RMSLoginDelayTime_1s</t>
  </si>
  <si>
    <t>1. Car mode == Normal
2. Usage mode == Driving
3. RMS 服务开启：远程配置参数 RMS_Activate == activated
4. TCAM能获取到有效的VIN和ICCID
5. HvSysRlySts == HvActnSts_Open
6. RMS_Login_Delay_Time == 1s
7. RMS_Logout_Delay_Time == 1s
8. 已经连接GB平台</t>
  </si>
  <si>
    <t>1. 1s后TCAM发送登入消息到云端，并开始发送实时数据
2. 1s后TCAM发送登出消息到云端，并停止实时数据</t>
  </si>
  <si>
    <t>Telematics_RemoteVehicleStatus_RTM_0084</t>
  </si>
  <si>
    <t>LoginLogout_successfully_with_RMSLoginDelayTime_10s</t>
  </si>
  <si>
    <t>1. Car mode == Normal
2. Usage mode == Driving
3. RMS 服务开启：远程配置参数 RMS_Activate == activated
4. TCAM能获取到有效的VIN和ICCID
5. HvSysRlySts == HvActnSts_Open
6. RMS_Login_Delay_Time == 10s
7. RMS_Logout_Delay_Time == 10s
8. 已经连接GB平台</t>
  </si>
  <si>
    <t>1. 10s后TCAM发送登入消息到云端，并开始发送实时数据
2. 10s后TCAM发送登出消息到云端，并停止实时数据</t>
  </si>
  <si>
    <t>Telematics_RemoteVehicleStatus_RTM_0085</t>
  </si>
  <si>
    <t>LoginLogout_successfully_with_RMSLoginDelayTime_30s</t>
  </si>
  <si>
    <t>1. Car mode == Normal
2. Usage mode == Driving
3. RMS 服务开启：远程配置参数 RMS_Activate == activated
4. TCAM能获取到有效的VIN和ICCID
5. HvSysRlySts == HvActnSts_Open
6. RMS_Login_Delay_Time == 30s
7. RMS_Logout_Delay_Time == 30s
8. 已经连接GB平台</t>
  </si>
  <si>
    <t>1. 30s后TCAM发送登入消息到云端，并开始发送实时数据
2. 30s后TCAM发送登出消息到云端，并停止实时数据</t>
  </si>
  <si>
    <t>Telematics_RemoteVehicleStatus_RTM_0086</t>
  </si>
  <si>
    <t>LoginLogout_successfully_with_RMSLoginDelayTime_60s</t>
  </si>
  <si>
    <t>1. Car mode == Normal
2. Usage mode == Driving
3. RMS 服务开启：远程配置参数 RMS_Activate == activated
4. TCAM能获取到有效的VIN和ICCID
5. HvSysRlySts == HvActnSts_Open
6. RMS_Login_Delay_Time == 60s
7. RMS_Logout_Delay_Time == 60s
8. 已经连接GB平台</t>
  </si>
  <si>
    <t>1. 60s后TCAM发送登入消息到云端，并开始发送实时数据
2. 60s后TCAM发送登出消息到云端，并停止实时数据</t>
  </si>
  <si>
    <t>Telematics_RemoteVehicleStatus_RTM_0087</t>
  </si>
  <si>
    <t>Vehicle_send_data_to_JIDUServer_with_no_response_30s</t>
  </si>
  <si>
    <t>1. Car mode == Normal
2. Usage mode == Driving
3. RMS 服务开启：远程配置参数 RMS_Activate == activated
4. TCAM能获取到有效的VIN和ICCID
5. HvSysRlySts == HvActnSts_Open
6. 已经连接GB平台</t>
  </si>
  <si>
    <t>1. 设置信号HvSysRlySts = HvActnSts_Open
2. 模拟GB server30s不回复确认信息</t>
  </si>
  <si>
    <t>1.TCAM发送消息到云端
2. TCAM重发消息到云端</t>
  </si>
  <si>
    <t>Telematics_RemoteVehicleStatus_RTM_0088</t>
  </si>
  <si>
    <t>Vehicle_estabilish_connection_with_GBserver</t>
  </si>
  <si>
    <t>1. 设置RMS_URL = GB Server
2.设置信号HvSysRlySts = HvActnSts_Clsd</t>
  </si>
  <si>
    <t>1.TCAM主动GBserver建立链接
2.TCAM发送登入消息到云端</t>
  </si>
  <si>
    <t>Telematics_RemoteVehicleStatus_RTM_0089</t>
  </si>
  <si>
    <t>Vehicle_reestabilish_connection_with_Gbserver_without_reponse</t>
  </si>
  <si>
    <t>1. 设置信号HvSysRlySts = HvActnSts_Clsd
2.模拟Gbserver不回复应答信息</t>
  </si>
  <si>
    <t>1.无响应后TCAM尝试3次重连，每次间隔1min
2. 3次重连无应答，30min后再次重连</t>
  </si>
  <si>
    <t>Telematics_RemoteVehicleStatus_RTM_0090</t>
  </si>
  <si>
    <t>Vehicle_reestabilish_connection_with_GBserver_with_reponse_in_3min</t>
  </si>
  <si>
    <t>1.设置信号HvSysRlySts = HvActnSts_Clsd
2.模拟Gbserver 3min后回复应答信息</t>
  </si>
  <si>
    <t>1.Step 2，3min后TCAM收到应答信息连接建立完成，开始发送实时消息和补发消息</t>
  </si>
  <si>
    <t>Telematics_RemoteVehicleStatus_RTM_0091</t>
  </si>
  <si>
    <t>Vehicle_reestabilish_connection_with_GBserver_with_reponse_in_30min</t>
  </si>
  <si>
    <t>1. 设置信号HvSysRlySts = HvActnSts_Clsd
2. 模拟Gbserver 30min后回复应答信息</t>
  </si>
  <si>
    <t>1.Step 2, 30min后TCAM收到应答信息连接建立完成，开始发送实时消息和补发消息</t>
  </si>
  <si>
    <t>P4</t>
  </si>
  <si>
    <t>Telematics_RemoteVehicleStatus_RTM_0092</t>
  </si>
  <si>
    <t>Vehicle_send_heartbeat_after_connection_estabilished</t>
  </si>
  <si>
    <t>1. 设置Heartbeat = 5s
2. 设置信号HvSysRlySts = HvActnSts_Clsd</t>
  </si>
  <si>
    <t>1.Step 2, TCAM按照Heartbeat周期发送心跳数据到国标平台</t>
  </si>
  <si>
    <t>Telematics_RemoteVehicleStatus_RTM_0093</t>
  </si>
  <si>
    <t>Vehicle_disconnect_with_GBserver_when_no_response</t>
  </si>
  <si>
    <t>1. 设置Heartbeat = 5s
2.设置信号HvSysRlySts = HvActnSts_Clsd
3.3min后模拟Gbserver不回复确认信息</t>
  </si>
  <si>
    <t>1. Step2, TCAM发送实时数据和补发数据到国标平台
2. Step 3, TCAM断开与Gbserver连接</t>
  </si>
  <si>
    <t>Telematics_RemoteVehicleStatus_RTM_0094</t>
  </si>
  <si>
    <t>Vehicle_send_message_during_disconnection</t>
  </si>
  <si>
    <t>1. 设置Heartbeat = 5s
2.设置信号HvSysRlySts = HvActnSts_Clsd
3.断开TCAM网络10min并于10min后恢复网络</t>
  </si>
  <si>
    <t>1. Step 2, TCAM发送实时数据和补发数据到国标平台
2. Step 3, TCAM断开与Gbserver连接10min后恢复，并补发断网期间的数据</t>
  </si>
  <si>
    <t>Telematics_RemoteVehicleStatus_RTM_0095</t>
  </si>
  <si>
    <t>Login_message_data_format</t>
  </si>
  <si>
    <t>1.TCAM发送登入数据到国标平台
2. 登入数据格式满足国标要求，包括数据采集时间, 登入流水号, ICCID, 可充电储能子系统, 可充电储能系统编码长度, 可充电储能系统编码等数据字段。</t>
  </si>
  <si>
    <t>Telematics_RemoteVehicleStatus_RTM_0096</t>
  </si>
  <si>
    <t>Logout_message_data_format</t>
  </si>
  <si>
    <t>1. 设置信号HvSysRlySts = HvActnSts_Clsd
2. 2min后设置信号HvSysRlySts = HvActnSts_Open</t>
  </si>
  <si>
    <t>1. Step 2, 发送登出数据到国标平台
2. Step 2,登出数据格式满足国标要求，包括登出时间和登出流水号两个数据字段。</t>
  </si>
  <si>
    <t>Telematics_RemoteVehicleStatus_RTM_0097</t>
  </si>
  <si>
    <t>Realtime_message_data_format</t>
  </si>
  <si>
    <t>1.TCAM发送登入数据和实时数据到国标平台
2. 实时数据格式满足国标要求，包括数据采集时间, 信息类型标志(1), 信息体(1),... 信息类型标志(n), 信息体(n)等数据字段。</t>
  </si>
  <si>
    <t>Telematics_RemoteVehicleStatus_RTM_0098</t>
  </si>
  <si>
    <t>Login_logou_serial_number</t>
  </si>
  <si>
    <t>1. 设置信号HvSysRlySts = HvActnSts_Clsd
2. 1min后设置信号HvSysRlySts = HvActnSts_Open
3. 设置信号HvSysRlySts = HvActnSts_Clsd
4.设置信号HvSysRlySts = HvActnSts_Open</t>
  </si>
  <si>
    <t>1. TCAM主动GBserver建立链接发送登入数据到国标平台, 登入流水号为1
2. TCAM发送登出消息到国标平台，登出流水号为1
3. TCAM连接Gbserver后发送登入消息到国标平台，登入流水号为2
4. TCAM发送登出消息到国标平台，登出流水号为2</t>
  </si>
  <si>
    <t>Telematics_RemoteVehicleStatus_RTM_0099</t>
  </si>
  <si>
    <t>Sampling_data_store</t>
  </si>
  <si>
    <t>1. Car mode == Normal
2. Usage mode == Driving
3. RMS 服务开启：远程配置参数 RMS_Activate == activated
4. TCAM能获取到有效的VIN和ICCID
5. HvSysRlySts == HvActnSts_Open
6. 设置模式为直连GB平台</t>
  </si>
  <si>
    <t>1. 关闭TCAM网络
2.设置信号HvSysRlySts = HvActnSts_Clsd
3. 等待30min, 查看emmc中存储的数据</t>
  </si>
  <si>
    <t>1. Step 3, emmc存储30min断网期间数据，每秒一个报文数据，路径为/mnt/sdcard/neusoft/storage/goverment/</t>
  </si>
  <si>
    <t>Telematics_RemoteVehicleStatus_RTM_0100</t>
  </si>
  <si>
    <t>General_Warning_TemperatureDifferenceAlarm</t>
  </si>
  <si>
    <t>1. TCAM与GB平台建立连接
2. Car mode == Normal
3. Usage mode == Driving
4. TCAM能获取到有效的VIN和ICCID
5. HvSysRlySts == HvActnSts_Open</t>
  </si>
  <si>
    <t>1. 设置信号{HvActnSts} = HvActnSts_Clsd
2.触发温度差异1级报警60s，HvCellTDifFlt = 1
3.触发温度差异2级报警60s，HvCellTDifFlt = 2
4.触发温度差异3级报警60s，HvCellTDifFlt = 3</t>
  </si>
  <si>
    <t>1. Step 2, 车辆上报一级报警信息，报警维持期间上报频率保持不变
2. Step 3, 车辆上报二级报警信息，报警维持期间上报频率保持不变
3. Step 4, 车辆上报三级报警信息，且报警时刻以及报警前30秒和后29秒上报频率为1Hz</t>
  </si>
  <si>
    <t>Telematics_RemoteVehicleStatus_RTM_0101</t>
  </si>
  <si>
    <t>General_Warning_BatteryHighTemperatureAlarm</t>
  </si>
  <si>
    <t>1. 设置信号{HvActnSts} = HvActnSts_Clsd
2. 触发电池高温报警1级报警60s，HvCellTOverFlt = 1
3. 触发电池高温报警2级报警60s，HvCellTOverFlt = 2
4. 触发电池高温报警3级报警60s，HvCellTOverFlt = 3</t>
  </si>
  <si>
    <t>Telematics_RemoteVehicleStatus_RTM_0102</t>
  </si>
  <si>
    <t>General_Warning_OverVoltageAlarmofEnergyStorageDevice</t>
  </si>
  <si>
    <t>1. 设置信号{HvActnSts} = HvActnSts_Clsd
2. 触发车载储能装置类型过压报警1级报警60s，HvPackUOverFlt = 1
3. 触发车载储能装置类型过压报警2级报警60s，HvPackUOverFlt = 2
4. 触发车载储能装置类型过压报警3级报警60s，HvPackUOverFlt = 3</t>
  </si>
  <si>
    <t>Telematics_RemoteVehicleStatus_RTM_0103</t>
  </si>
  <si>
    <t>General_Warning_UnderVoltageAlarmofEnergyStorageDevice</t>
  </si>
  <si>
    <t>1. 设置信号{HvActnSts} = HvActnSts_Clsd
2.触发车载储能装置类型欠压报警1级报警60s, HvPackUUnderFlt = 1
3.触发车载储能装置类型欠压报警2级报警60s, HvPackUUnderFlt = 2
4.触发车载储能装置类型欠压报警3级报警60s, HvPackUUnderFlt = 3</t>
  </si>
  <si>
    <t>Telematics_RemoteVehicleStatus_RTM_0104</t>
  </si>
  <si>
    <t>General_Warning_LowSOCAlarm</t>
  </si>
  <si>
    <t>1. 设置信号{HvActnSts} = HvActnSts_Clsd
2.触发SOC低报警1级报警60s, HvSocLoFlt = 1
3.触发SOC低报警2级报警60s, HvSocLoFlt = 2
4.触发SOC低报警3级报警60s, HvSocLoFlt = 3</t>
  </si>
  <si>
    <t>Telematics_RemoteVehicleStatus_RTM_0105</t>
  </si>
  <si>
    <t>General_Warning_OverVoltageAlarmofBatteryCell</t>
  </si>
  <si>
    <t>1. 设置信号{HvActnSts} = HvActnSts_Clsd
2.触发单体电池过压报警1级报警60s, HvCellUOverFlt = 1
3.触发单体电池过压报警2级报警60s, HvCellUOverFlt = 2
4.触发单体电池过压报警3级报警60s, HvCellUOverFlt = 3</t>
  </si>
  <si>
    <t>Telematics_RemoteVehicleStatus_RTM_0106</t>
  </si>
  <si>
    <t>General_Warning_UnderVoltageAlarmofBatteryCell</t>
  </si>
  <si>
    <t>1. 设置信号{HvActnSts} = HvActnSts_Clsd
2.触发单体电池欠压报警1级报警60s, HvCellUUnderFlt = 1
3.触发单体电池欠压报警2级报警60s, HvCellUUnderFlt = 2
4.触发单体电池欠压报警3级报警60s, HvCellUUnderFlt = 3</t>
  </si>
  <si>
    <t>Telematics_RemoteVehicleStatus_RTM_0107</t>
  </si>
  <si>
    <t>General_Warning_OverHighSOCAlarm</t>
  </si>
  <si>
    <t>1. 设置信号{HvActnSts} = HvActnSts_Clsd
2.触发SOC过高报警1级报警60s, HvSocHiFlt = 1
3.触发SOC过高报警2级报警60s, HvSocHiFlt = 2
4.触发SOC过高报警3级报警60s, HvSocHiFlt = 3</t>
  </si>
  <si>
    <t>Telematics_RemoteVehicleStatus_RTM_0108</t>
  </si>
  <si>
    <t>General_Warning_SOCJumpAlarm</t>
  </si>
  <si>
    <t>1. 设置信号{HvActnSts} = HvActnSts_Clsd
2.触发SOC跳变报警1级报警60s, HvSocHopFlt = 1
3.触发SOC跳变报警2级报警60s, HvSocHopFlt = 2
4.触发SOC跳变报警3级报警60s, HvSocHopFlt = 3</t>
  </si>
  <si>
    <t>Telematics_RemoteVehicleStatus_RTM_0109</t>
  </si>
  <si>
    <t>General_Warning_RechargeableEnergyStorageSystemSismatchAlarm</t>
  </si>
  <si>
    <t>1. 设置信号{HvActnSts} = HvActnSts_Clsd
2.触发可充电储能系统不匹配报警1级报警60s, HvBattMismatchFlt = 1</t>
  </si>
  <si>
    <t>1. Step 2, 车辆上报二级报警信息，报警维持期间上报频率保持不变</t>
  </si>
  <si>
    <t>Telematics_RemoteVehicleStatus_RTM_0110</t>
  </si>
  <si>
    <t>General_Warning_PoorBatteryCellConsistencyAlarm</t>
  </si>
  <si>
    <t>1. 设置信号{HvActnSts} = HvActnSts_Clsd
2.触发电池单体一致性差报警1级报警60s，HvCellUDifFlt = 1
3.触发电池单体一致性差报警2级报警60s，HvCellUDifFlt = 2
4.触发电池单体一致性差报警3级报警60s，HvCellUDifFlt = 3</t>
  </si>
  <si>
    <t>Telematics_RemoteVehicleStatus_RTM_0111</t>
  </si>
  <si>
    <t>General_Warning_InsulationAlarm</t>
  </si>
  <si>
    <t>1. 设置信号{HvActnSts} = HvActnSts_Clsd
2.触发绝缘报警1级报警60s，HvlsoFlt = 1
3.触发绝缘报警2级报警60s，HvlsoFlt = 2
4.触发绝缘报警3级报警60s，HvlsoFlt = 3</t>
  </si>
  <si>
    <t>Telematics_RemoteVehicleStatus_RTM_0112</t>
  </si>
  <si>
    <t>General_Warning_DCDCTemperatureAlarm</t>
  </si>
  <si>
    <t>1. 设置信号{HvActnSts} = HvActnSts_Clsd
2.触发DC~DC温度报警1级报警60s，FltTDcDc = 1</t>
  </si>
  <si>
    <t>1. Step 2, 车辆上报一级报警信息，报警维持期间上报频率保持不变</t>
  </si>
  <si>
    <t>Telematics_RemoteVehicleStatus_RTM_0113</t>
  </si>
  <si>
    <t>General_Warning_BrakeSystemWarning</t>
  </si>
  <si>
    <t>1. 设置信号{HvActnSts} = HvActnSts_Clsd
2.触发制动系统报警1级报警60s, EscWarnIndcnReqEscWarnIndcnReq = 0
3.触发制动系统报警2级报警60s, BrkAndAbsWarnIndcnReqAbsWarnIndcnReq/BrkSysWarnIndcnReqSec/BrkSysWarnIndcnReq = 0
4.触发制动系统报警3级报警60s, BrkAndAbsWarnIndcnReqBrkWarnIndcnReq = 0</t>
  </si>
  <si>
    <t>Telematics_RemoteVehicleStatus_RTM_0114</t>
  </si>
  <si>
    <t>General_Warning_DCDCStatusAlarm</t>
  </si>
  <si>
    <t>1. 设置信号{HvActnSts} = HvActnSts_Clsd
2.触发DC~DC状态报警2级报警60s, FltElecDcDc = 1</t>
  </si>
  <si>
    <t>Telematics_RemoteVehicleStatus_RTM_0115</t>
  </si>
  <si>
    <t>General_Warning_DriveMotorControllerTemperatureAlarm</t>
  </si>
  <si>
    <t>1. 设置信号{HvActnSts} = HvActnSts_Clsd
2.触发驱动电机控制器温度报警2级报警60s, IemGenericInvrtTAlrmSt or IgmGenericInvrtTAlrmSt = 1</t>
  </si>
  <si>
    <t>Telematics_RemoteVehicleStatus_RTM_0116</t>
  </si>
  <si>
    <t>General_Warning_HighVoltageInterlock</t>
  </si>
  <si>
    <t xml:space="preserve">1. 设置信号{HvActnSts} = HvActnSts_Clsd
2. 触发高压互锁状态报警1级报警60s, HvilFlt = 1, usage mode=driving
3. 触发高压互锁状态报警2级报警60s, HvilFlt = 1, usage mode!=driving
</t>
  </si>
  <si>
    <t>1. Step 2, 车辆上报一级报警信息，报警维持期间上报频率保持不变
2. Step 3, 车辆上报二级报警信息，报警维持期间上报频率保持不变</t>
  </si>
  <si>
    <t>Telematics_RemoteVehicleStatus_RTM_0117</t>
  </si>
  <si>
    <t>General_Warning_DriveMotorTemperatureAlarm</t>
  </si>
  <si>
    <t>1. 设置信号{HvActnSts} = HvActnSts_Clsd
2. 触发驱动电机温度报警2级报警60s, IemGenericMotTAlrmSt or IgmGenericMotTAlrmSt = 1</t>
  </si>
  <si>
    <t>Telematics_RemoteVehicleStatus_RTM_0118</t>
  </si>
  <si>
    <t>General_Warning_2_divided_level3_alarms</t>
  </si>
  <si>
    <t>1. 设置信号{HvActnSts} = HvActnSts_Clsd
2. 依次触发3级绝缘报警和3级SOC高报警，间隔40s</t>
  </si>
  <si>
    <t>1. Step 2, 车辆上报两个三级报警，每个报警按照前30s补发+后29s实时上报</t>
  </si>
  <si>
    <t>Telematics_RemoteVehicleStatus_RTM_0119</t>
  </si>
  <si>
    <t>General_Warning_2_joint_level3_alarms</t>
  </si>
  <si>
    <t>1. 设置信号{HvActnSts} = HvActnSts_Clsd
2. 依次触发3级绝缘报警和3级SOC高报警，间隔30s</t>
  </si>
  <si>
    <t>1. Step 2, 车辆上报两个级报警信息，报警报文按照第一个报警前30s补发+59s实时报文进行上报</t>
  </si>
  <si>
    <t>Telematics_RemoteVehicleStatus_RTM_0120</t>
  </si>
  <si>
    <t>General_Warning_OverchargeAlarmofEnergyStorageDevice</t>
  </si>
  <si>
    <t>1. 设置信号{HvActnSts} = HvActnSts_Clsd
2.触发车载储能装置类型过充报警1级报警60s, HvPackOverChrgFlt = 1
3.触发车载储能装置类型过充报警2级报警60s, HvPackOverChrgFlt = 2
4.触发车载储能装置类型过充报警3级报警60s, HvPackOverChrgFlt = 3</t>
  </si>
  <si>
    <t>Telematics_RemoteVehicleStatus_RTM_0121</t>
  </si>
  <si>
    <t>Extreme_data</t>
  </si>
  <si>
    <t>1.车辆登入成功&amp;实时数据上报
2. 实时数据上报包含极值数据，极值数据包含最高最低单体电压值，以及对应的单体电池序号和子系统号，最高最低温度值以及对应单体电池序号和子系统号，数据符合数值逻辑。</t>
  </si>
  <si>
    <t>Telematics_RemoteVehicleStatus_RTM_0122</t>
  </si>
  <si>
    <t>Forward_ParamCfg_RmsActivate_is_Activated</t>
  </si>
  <si>
    <t>1. TCAM与TSP建立连接
2. Car mode == Normal
3. Usage mode == Driving
4. TCAM能获取到有效的VIN和ICCID
5. HvSysRlySts == HvActnSts_Open
6. 已经连接JIDU平台</t>
  </si>
  <si>
    <t>Telematics_RemoteVehicleStatus_RTM_0123</t>
  </si>
  <si>
    <t>Forward_ParamCfg_RmsActivate_is_Deactivated</t>
  </si>
  <si>
    <t>Telematics_RemoteVehicleStatus_RTM_0124</t>
  </si>
  <si>
    <t>Forward_ParamCfg_RealtimePeriod_is_1s</t>
  </si>
  <si>
    <t>Telematics_RemoteVehicleStatus_RTM_0125</t>
  </si>
  <si>
    <t>Forward_ParamCfg_RealtimePeriod_is_10s(Default)</t>
  </si>
  <si>
    <t>Telematics_RemoteVehicleStatus_RTM_0126</t>
  </si>
  <si>
    <t>Forward_ParamCfg_RealtimePeriod_is_30s</t>
  </si>
  <si>
    <t>Telematics_RemoteVehicleStatus_RTM_0127</t>
  </si>
  <si>
    <t>Forward_ParamCfg_SupplementPeriod_is_1s</t>
  </si>
  <si>
    <t>Telematics_RemoteVehicleStatus_RTM_0128</t>
  </si>
  <si>
    <t>Telematics_RemoteVehicleStatus_RTM_0129</t>
  </si>
  <si>
    <t>Forward_ParamCfg_SupplementPeriod_is_30s</t>
  </si>
  <si>
    <t>Telematics_RemoteVehicleStatus_RTM_0130</t>
  </si>
  <si>
    <t>Forward_ParamCfg_RmsLoginDelayTime_is_0s（default)</t>
  </si>
  <si>
    <t>Telematics_RemoteVehicleStatus_RTM_0131</t>
  </si>
  <si>
    <t>Foward_ParamCfg_RmsLoginDelayTime_is_30s</t>
  </si>
  <si>
    <t>Telematics_RemoteVehicleStatus_RTM_0132</t>
  </si>
  <si>
    <t>Forward_ParamCfg_RmsLoginDelayTime_is_60s</t>
  </si>
  <si>
    <t>Telematics_RemoteVehicleStatus_RTM_0133</t>
  </si>
  <si>
    <t>Forward_ParamCfg_RmsLogoutDelayTime_is_0s（default)</t>
  </si>
  <si>
    <t>1. TCAM与TSP建立连接
2. 已经连接JIDU平台
3. 已完成车辆登入、实时数据上报中</t>
  </si>
  <si>
    <t>Telematics_RemoteVehicleStatus_RTM_0134</t>
  </si>
  <si>
    <t>Forward_ParamCfg_RmsLogoutDelayTime_is_30s</t>
  </si>
  <si>
    <t>Telematics_RemoteVehicleStatus_RTM_0135</t>
  </si>
  <si>
    <t>Forward_ParamCfg_RmsLogoutDelayTime_is_60s</t>
  </si>
  <si>
    <t>Telematics_RemoteVehicleStatus_RTM_0136</t>
  </si>
  <si>
    <t>Forward_ParamCfg_Heartbeat_is_1s</t>
  </si>
  <si>
    <t>Telematics_RemoteVehicleStatus_RTM_0137</t>
  </si>
  <si>
    <t>Forward_ParamCfg_Heartbeat_is_60s(default)</t>
  </si>
  <si>
    <t>Telematics_RemoteVehicleStatus_RTM_0138</t>
  </si>
  <si>
    <t>Forward_ParamCfg_Heartbeat_is_240s</t>
  </si>
  <si>
    <t>Telematics_RemoteVehicleStatus_RTM_0139</t>
  </si>
  <si>
    <t>Forward_ParamCfg_WarningPeriod_is_0s(default)</t>
  </si>
  <si>
    <t>Telematics_RemoteVehicleStatus_RTM_0140</t>
  </si>
  <si>
    <t>Forward_ParamCfg_WarningPeriod_is_30s_interval_30s</t>
  </si>
  <si>
    <t>Telematics_RemoteVehicleStatus_RTM_0141</t>
  </si>
  <si>
    <t>Forward_ParamCfg_WarningPeriod_is_30s_interval_31s</t>
  </si>
  <si>
    <t>Telematics_RemoteVehicleStatus_RTM_0142</t>
  </si>
  <si>
    <t>Forward_ParamCfg_WarningPeriod_is_60s_interval_60s</t>
  </si>
  <si>
    <t>Telematics_RemoteVehicleStatus_RTM_0143</t>
  </si>
  <si>
    <t>Forward_ParamCfg_WarningPeriod_is_60s_interval_61s</t>
  </si>
  <si>
    <t>Telematics_RemoteVehicleStatus_RTM_0144</t>
  </si>
  <si>
    <t>Forward_ParamCfg_WarningLevel_TemperatureDifferenceAlarm</t>
  </si>
  <si>
    <t>Telematics_RemoteVehicleStatus_RTM_0145</t>
  </si>
  <si>
    <t>Forward_ParamCfg_WarningLevel_BatteryHighTemperatureAlarm</t>
  </si>
  <si>
    <t>Telematics_RemoteVehicleStatus_RTM_0146</t>
  </si>
  <si>
    <t>Forward_ParamCfg_WarningLevel_OverVoltageAlarmofEnergyStorageDevice</t>
  </si>
  <si>
    <t>Telematics_RemoteVehicleStatus_RTM_0147</t>
  </si>
  <si>
    <t>Forward_ParamCfg_WarningLevel_UnderVoltageAlarmofEnergyStorageDevice</t>
  </si>
  <si>
    <t>Telematics_RemoteVehicleStatus_RTM_0148</t>
  </si>
  <si>
    <t>Forward_ParamCfg_WarningLevel_LowSOCAlarm</t>
  </si>
  <si>
    <t>Telematics_RemoteVehicleStatus_RTM_0149</t>
  </si>
  <si>
    <t>Forward_ParamCfg_WarningLevel_OverVoltageAlarmofBatteryCell</t>
  </si>
  <si>
    <t>Telematics_RemoteVehicleStatus_RTM_0150</t>
  </si>
  <si>
    <t>Forward_ParamCfg_WarningLevel_UnderVoltageAlarmofBatteryCell</t>
  </si>
  <si>
    <t>Telematics_RemoteVehicleStatus_RTM_0151</t>
  </si>
  <si>
    <t>Forward_ParamCfg_WarningLevel_OverHighSOCAlarm</t>
  </si>
  <si>
    <t>Telematics_RemoteVehicleStatus_RTM_0152</t>
  </si>
  <si>
    <t>Forward_ParamCfg_WarningLevel_SOCJumpAlarm</t>
  </si>
  <si>
    <t>Telematics_RemoteVehicleStatus_RTM_0153</t>
  </si>
  <si>
    <t>Forward_ParamCfg_WarningLevel_RechargeableEnergyStorageSystemSismatchAlarm</t>
  </si>
  <si>
    <t>Telematics_RemoteVehicleStatus_RTM_0154</t>
  </si>
  <si>
    <t>Forward_ParamCfg_WarningLevel_PoorBatteryCellConsistencyAlarm</t>
  </si>
  <si>
    <t>Telematics_RemoteVehicleStatus_RTM_0155</t>
  </si>
  <si>
    <t>Forward_ParamCfg_WarningLevel_InsulationAlarm</t>
  </si>
  <si>
    <t>Telematics_RemoteVehicleStatus_RTM_0156</t>
  </si>
  <si>
    <t>Forward_ParamCfg_WarningLevel_DCDCTemperatureAlarm</t>
  </si>
  <si>
    <t>Telematics_RemoteVehicleStatus_RTM_0157</t>
  </si>
  <si>
    <t>Forward_ParamCfg_WarningLevel_BrakeSystemWarning</t>
  </si>
  <si>
    <t>Telematics_RemoteVehicleStatus_RTM_0158</t>
  </si>
  <si>
    <t>Forward_ParamCfg_WarningLevel_DCDCStatusAlarm</t>
  </si>
  <si>
    <t>Telematics_RemoteVehicleStatus_RTM_0159</t>
  </si>
  <si>
    <t>Forward_ParamCfg_WarningLevel_DriveMotorControllerTemperatureAlarm</t>
  </si>
  <si>
    <t>Telematics_RemoteVehicleStatus_RTM_0160</t>
  </si>
  <si>
    <t>Forward_ParamCfg_WarningLevel_HighVoltageInterlock</t>
  </si>
  <si>
    <t>Telematics_RemoteVehicleStatus_RTM_0161</t>
  </si>
  <si>
    <t>Forward_ParamCfg_WarningLevel_DriveMotorTemperatureAlarm</t>
  </si>
  <si>
    <t>Telematics_RemoteVehicleStatus_RTM_0162</t>
  </si>
  <si>
    <t>Forward_ParamCfg_WarningLevel_OverchargeAlarmofEnergyStorageDevice</t>
  </si>
  <si>
    <t>Telematics_RemoteVehicleStatus_RTM_0163</t>
  </si>
  <si>
    <t>Forward_DataCollect_trigger_CarMode_Normal_UsageMode_Driving</t>
  </si>
  <si>
    <t>1. Car mode == Normal
2. Usage mode == Driving
3. RMS 服务开启：远程配置参数 RMS_Activate == activated
4. TCAM能获取到有效的VIN和ICCID
5. HvSysRlySts == HvActnSts_Open
6. RMS_Login_Delay_Time == RMS_Logout_Delay_Time = 0s
7. 已经连接JIDU平台</t>
  </si>
  <si>
    <t>Telematics_RemoteVehicleStatus_RTM_0164</t>
  </si>
  <si>
    <t>Forward_DataCollect_trigger_CarMode_Normal_UsageMode_Active</t>
  </si>
  <si>
    <t>1. Car mode == Normal
2. Usage mode == Active
3. RMS 服务开启：远程配置参数 RMS_Activate == activated
4. TCAM能获取到有效的VIN和ICCID
5. HvSysRlySts == HvActnSts_Open
6. RMS_Login_Delay_Time == RMS_Logout_Delay_Time = 0s
7. 已经连接JIDU平台</t>
  </si>
  <si>
    <t>Telematics_RemoteVehicleStatus_RTM_0165</t>
  </si>
  <si>
    <t>Forward_DataCollect_trigger_CarMode_Normal_UsageMode_Convenience</t>
  </si>
  <si>
    <t>1. Car mode == Normal
2. Usage mode == Convenience
3. RMS 服务开启：远程配置参数 RMS_Activate == activated
4. TCAM能获取到有效的VIN和ICCID
5. HvSysRlySts == HvActnSts_Open
6. 已经连接JIDU平台</t>
  </si>
  <si>
    <t>Telematics_RemoteVehicleStatus_RTM_0166</t>
  </si>
  <si>
    <t>Forward_DataCollect_trigger_CarMode_Normal_UsageMode_Inactive</t>
  </si>
  <si>
    <t>1. Car mode == Normal
2. Usage mode == Inactive
3. RMS 服务开启：远程配置参数 RMS_Activate == activated
4. TCAM能获取到有效的VIN和ICCID
5. HvSysRlySts == HvActnSts_Open
6. 已经连接JIDU平台</t>
  </si>
  <si>
    <t>Telematics_RemoteVehicleStatus_RTM_0167</t>
  </si>
  <si>
    <t>Forward_DataCollect_trigger_CarMode_Dyno_UsageMode_Driving</t>
  </si>
  <si>
    <t>1. Car mode == Dyno
2. Usage mode == Driving
3. RMS 服务开启：远程配置参数 RMS_Activate == activated
4. TCAM能获取到有效的VIN和ICCID
5. HvSysRlySts == HvActvnSts_KeepSt
6. 已经连接JIDU平台</t>
  </si>
  <si>
    <t>Telematics_RemoteVehicleStatus_RTM_0168</t>
  </si>
  <si>
    <t>Forward_DataCollect_trigger_CarMode_Dyno_UsageMode_Active</t>
  </si>
  <si>
    <t>1. Car mode == Dyno
2. Usage mode == Active
3. RMS 服务开启：远程配置参数 RMS_Activate == activated
4. TCAM能获取到有效的VIN和ICCID
5. HvSysRlySts == HvActvnSts_KeepSt
6. 已经连接JIDU平台</t>
  </si>
  <si>
    <t>Telematics_RemoteVehicleStatus_RTM_0169</t>
  </si>
  <si>
    <t>Forward_DataCollect_trigger_CarMode_Dyno_UsageMode_Convenience</t>
  </si>
  <si>
    <t>1. Car mode == Dyno
2. Usage mode == Convenience
3. RMS 服务开启：远程配置参数 RMS_Activate == activated
4. TCAM能获取到有效的VIN和ICCID
5. HvSysRlySts == HvActvnSts_KeepSt
6. 已经连接JIDU平台</t>
  </si>
  <si>
    <t>Telematics_RemoteVehicleStatus_RTM_0170</t>
  </si>
  <si>
    <t>Forward_DataCollect_trigger_CarMode_Dyno_UsageMode_Inactive</t>
  </si>
  <si>
    <t>1. Car mode == Dyno
2. Usage mode == Inactive
3. RMS 服务开启：远程配置参数 RMS_Activate == activated
4. TCAM能获取到有效的VIN和ICCID
5. HvSysRlySts == HvActvnSts_KeepSt
6. 已经连接JIDU平台</t>
  </si>
  <si>
    <t>Telematics_RemoteVehicleStatus_RTM_0171</t>
  </si>
  <si>
    <t>Forward_DataCollect_trigger_CarMode_Crash_UsageMode_Driving</t>
  </si>
  <si>
    <t>1. Car mode == Crash
2. Usage mode == Driving
3. RMS 服务开启：远程配置参数 RMS_Activate == activated
4. TCAM能获取到有效的VIN和ICCID
5. HvSysRlySts == HvActvnSts_OpenAndReqActvDcha
6. 已经连接JIDU平台</t>
  </si>
  <si>
    <t>Telematics_RemoteVehicleStatus_RTM_0172</t>
  </si>
  <si>
    <t>Forward_DataCollect_trigger_CarMode_Crash_UsageMode_Active</t>
  </si>
  <si>
    <t>1. Car mode == Crash
2. Usage mode == Active
3. RMS 服务开启：远程配置参数 RMS_Activate == activated
4. TCAM能获取到有效的VIN和ICCID
5. HvSysRlySts == HvActvnSts_OpenAndReqActvDcha
6. 已经连接JIDU平台</t>
  </si>
  <si>
    <t>Telematics_RemoteVehicleStatus_RTM_0173</t>
  </si>
  <si>
    <t>Forward_DataCollect_trigger_CarMode_Crash_UsageMode_Convenience</t>
  </si>
  <si>
    <t>1. Car mode == Crash
2. Usage mode == Convenience
3. RMS 服务开启：远程配置参数 RMS_Activate == activated
4. TCAM能获取到有效的VIN和ICCID
5. HvSysRlySts == HvActvnSts_OpenAndReqActvDcha
6. 已经连接JIDU平台</t>
  </si>
  <si>
    <t>Telematics_RemoteVehicleStatus_RTM_0174</t>
  </si>
  <si>
    <t>Forward_DataCollect_trigger_CarMode_Crash_UsageMode_Inactive</t>
  </si>
  <si>
    <t>1. Car mode == Crash
2. Usage mode == Inactive
3. RMS 服务开启：远程配置参数 RMS_Activate == activated
4. TCAM能获取到有效的VIN和ICCID
5. HvSysRlySts == HvActvnSts_OpenAndReqActvDcha
6. 已经连接JIDU平台</t>
  </si>
  <si>
    <t>Telematics_RemoteVehicleStatus_RTM_0175</t>
  </si>
  <si>
    <t>Forward_DataCollect_exit_by_HvSysRlySts_Open</t>
  </si>
  <si>
    <t>Telematics_RemoteVehicleStatus_RTM_0176</t>
  </si>
  <si>
    <t>Forward_DataCollect_exit_by_HvSysRlySts_KeepSt</t>
  </si>
  <si>
    <t>Telematics_RemoteVehicleStatus_RTM_0177</t>
  </si>
  <si>
    <t>Forward_DataCollect_exit_by_HvSysRlySts_OpenAndReqActvDcha</t>
  </si>
  <si>
    <t>Telematics_RemoteVehicleStatus_RTM_0178</t>
  </si>
  <si>
    <t>Forward_DataCollect_Precondition_Mismatch_CarMode_Factory</t>
  </si>
  <si>
    <t>1. Car mode == Factory
2. Usage mode == Driving
3. RMS 服务开启：远程配置参数 RMS_Activate == activated
4. TCAM能获取到有效的VIN和ICCID
5. HvSysRlySts == HvActnSts_Open
6. 已经连接JIDU平台</t>
  </si>
  <si>
    <t>Telematics_RemoteVehicleStatus_RTM_0179</t>
  </si>
  <si>
    <t>Forward_DataCollect_Precondition_Mismatch_CarMode_Transport</t>
  </si>
  <si>
    <t>1. Car mode == Transport
2. Usage mode == Driving
3. RMS 服务开启：远程配置参数 RMS_Activate == activated
4. TCAM能获取到有效的VIN和ICCID
5. HvSysRlySts == HvActnSts_Open
6. 已经连接JIDU平台</t>
  </si>
  <si>
    <t>Telematics_RemoteVehicleStatus_RTM_0180</t>
  </si>
  <si>
    <t>Forward_DataCollect_Precondition_Mismatch_UsageMode_Abandoned</t>
  </si>
  <si>
    <t>1. Car mode == Normal
2. Usage mode == Abandoned
3. RMS 服务开启：远程配置参数 RMS_Activate == activated
4. TCAM能获取到有效的VIN和ICCID
5. HvSysRlySts == HvActnSts_Open
6. 已经连接JIDU平台</t>
  </si>
  <si>
    <t>Telematics_RemoteVehicleStatus_RTM_0181</t>
  </si>
  <si>
    <t>Forward_DataCollect_Precondition_Mismatch_RMSActive_deactivated</t>
  </si>
  <si>
    <t>1. Car mode == Normal
2. Usage mode == Driving
3. RMS 服务开启：远程配置参数 RMS_Activate == deactivated
4. TCAM能获取到有效的VIN和ICCID
5. HvSysRlySts == HvActnSts_Open
6. 已经连接JIDU平台</t>
  </si>
  <si>
    <t>Telematics_RemoteVehicleStatus_RTM_0182</t>
  </si>
  <si>
    <t>Forward_DataCollect_Precondition_Mismatch_VIN_null</t>
  </si>
  <si>
    <t>1. Car mode == Normal
2. Usage mode == Driving
3. RMS 服务开启：远程配置参数 RMS_Activate == activated
4. TCAM能获取到有效的ICCID
5. 设置VIN为无效值
6. HvSysRlySts == HvActnSts_Open
7. 已经连接JIDU平台</t>
  </si>
  <si>
    <t>Telematics_RemoteVehicleStatus_RTM_0183</t>
  </si>
  <si>
    <t>Forward_DataCollect_Precondition_Mismatch_ICCID_null</t>
  </si>
  <si>
    <t>1. Car mode == Normal
2. Usage mode == Driving
3. RMS 服务开启：远程配置参数 RMS_Activate == activated
4. TCAM能获取到有效的VIN
5. 设置ICCID为无效值
6. HvSysRlySts == HvActnSts_Open
7. 已经连接JIDU平台</t>
  </si>
  <si>
    <t>Telematics_RemoteVehicleStatus_RTM_0184</t>
  </si>
  <si>
    <t>Forward_LoginLogout_successfully_when_CarMode_Normal_UsageMode_Driving</t>
  </si>
  <si>
    <t>Telematics_RemoteVehicleStatus_RTM_0185</t>
  </si>
  <si>
    <t>Forward_LoginLogout_successfully_when_CarMode_Normal_UsageMode_Active</t>
  </si>
  <si>
    <t>Telematics_RemoteVehicleStatus_RTM_0186</t>
  </si>
  <si>
    <t>Forward_LoginLogout_successfully_when_CarMode_Normal_UsageMode_Convenience</t>
  </si>
  <si>
    <t>1. Car mode == Normal
2. Usage mode == Convenience
3. RMS 服务开启：远程配置参数 RMS_Activate == activated
4. TCAM能获取到有效的VIN和ICCID
5. HvSysRlySts == HvActnSts_Open
6. RMS_Login_Delay_Time == RMS_Logout_Delay_Time = 0s
7. 已经连接JIDU平台</t>
  </si>
  <si>
    <t>Telematics_RemoteVehicleStatus_RTM_0187</t>
  </si>
  <si>
    <t>Forward_LoginLogout_successfully_when_CarMode_Normal_UsageMode_Inactive</t>
  </si>
  <si>
    <t>1. Car mode == Normal
2. Usage mode == Inactive
3. RMS 服务开启：远程配置参数 RMS_Activate == activated
4. TCAM能获取到有效的VIN和ICCID
5. HvSysRlySts == HvActnSts_Open
6. RMS_Login_Delay_Time == RMS_Logout_Delay_Time = 0s
7. 已经连接JIDU平台</t>
  </si>
  <si>
    <t>Telematics_RemoteVehicleStatus_RTM_0188</t>
  </si>
  <si>
    <t>Forward_LoginLogout_successfully_when_CarMode_Dyno_UsageMode_Driving</t>
  </si>
  <si>
    <t>1. Car mode == Dyno
2. Usage mode == Driving
3. RMS 服务开启：远程配置参数 RMS_Activate == activated
4. TCAM能获取到有效的VIN和ICCID
5. HvSysRlySts == HvActvnSts_KeepSt
6. RMS_Login_Delay_Time == 
RMS_Logout_Delay_Time = 0s
7. 已经连接JIDU平台</t>
  </si>
  <si>
    <t>Telematics_RemoteVehicleStatus_RTM_0189</t>
  </si>
  <si>
    <t>Forward_LoginLogout_successfully_when_CarMode_Dyno_UsageMode_Active</t>
  </si>
  <si>
    <t>1. Car mode == Dyno
2. Usage mode == Active
3. RMS 服务开启：远程配置参数 RMS_Activate == activated
4. TCAM能获取到有效的VIN和ICCID
5. HvSysRlySts == HvActvnSts_KeepSt
6. RMS_Login_Delay_Time == RMS_Logout_Delay_Time = 0s
7. 已经连接JIDU平台</t>
  </si>
  <si>
    <t>Telematics_RemoteVehicleStatus_RTM_0190</t>
  </si>
  <si>
    <t>Forward_LoginLogout_successfully_when_CarMode_Dyno_UsageMode_Convenience</t>
  </si>
  <si>
    <t>1. Car mode == Dyno
2. Usage mode == Convenience
3. RMS 服务开启：远程配置参数 RMS_Activate == activated
4. TCAM能获取到有效的VIN和ICCID
5. HvSysRlySts == HvActvnSts_KeepSt
6. RMS_Login_Delay_Time == RMS_Logout_Delay_Time = 0s
7. 已经连接JIDU平台</t>
  </si>
  <si>
    <t>Telematics_RemoteVehicleStatus_RTM_0191</t>
  </si>
  <si>
    <t>Forward_LoginLogout_successfully_when_CarMode_Dyno_UsageMode_Inactive</t>
  </si>
  <si>
    <t>1. Car mode == Dyno
2. Usage mode == Inactive
3. RMS 服务开启：远程配置参数 RMS_Activate == activated
4. TCAM能获取到有效的VIN和ICCID
5. HvSysRlySts == HvActvnSts_KeepSt
6. RMS_Login_Delay_Time == RMS_Logout_Delay_Time = 0s
7. 已经连接JIDU平台</t>
  </si>
  <si>
    <t>Telematics_RemoteVehicleStatus_RTM_0192</t>
  </si>
  <si>
    <t>Forward_LoginLogout_successfully_when_CarMode_Crash_UsageMode_Driving</t>
  </si>
  <si>
    <t>1. Car mode == Crash
2. Usage mode == Driving
3. RMS 服务开启：远程配置参数 RMS_Activate == activated
4. TCAM能获取到有效的VIN和ICCID
5. HvSysRlySts == HvActvnSts_OpenAndReqActvDcha
6. RMS_Login_Delay_Time == RMS_Logout_Delay_Time = 0s
7. 已经连接JIDU平台</t>
  </si>
  <si>
    <t>Telematics_RemoteVehicleStatus_RTM_0193</t>
  </si>
  <si>
    <t>Forward_LoginLogout_successfully_when_CarMode_Crash_UsageMode_Active</t>
  </si>
  <si>
    <t>1. Car mode == Crash
2. Usage mode == Active
3. RMS 服务开启：远程配置参数 RMS_Activate == activated
4. TCAM能获取到有效的VIN和ICCID
5. HvSysRlySts == HvActvnSts_OpenAndReqActvDcha
6. RMS_Login_Delay_Time == RMS_Logout_Delay_Time = 0s
7. 已经连接JIDU平台</t>
  </si>
  <si>
    <t>Telematics_RemoteVehicleStatus_RTM_0194</t>
  </si>
  <si>
    <t>Forward_LoginLogout_successfully_when_CarMode_Crash_UsageMode_Convenience</t>
  </si>
  <si>
    <t>1. Car mode == Crash
2. Usage mode == Convenience
3. RMS 服务开启：远程配置参数 RMS_Activate == activated
4. TCAM能获取到有效的VIN和ICCID
5. HvSysRlySts == HvActvnSts_OpenAndReqActvDcha
6. RMS_Login_Delay_Time == RMS_Logout_Delay_Time = 0s
7. 已经连接JIDU平台</t>
  </si>
  <si>
    <t>Telematics_RemoteVehicleStatus_RTM_0195</t>
  </si>
  <si>
    <t>Forward_LoginLogout_successfully_when_CarMode_Crash_UsageMode_Inactive</t>
  </si>
  <si>
    <t>1. Car mode == Crash
2. Usage mode == Inactive
3. RMS 服务开启：远程配置参数 RMS_Activate == activated
4. TCAM能获取到有效的VIN和ICCID
5. HvSysRlySts == HvActvnSts_OpenAndReqActvDcha
6. RMS_Login_Delay_Time == RMS_Logout_Delay_Time = 0s
7. 已经连接JIDU平台</t>
  </si>
  <si>
    <t>Telematics_RemoteVehicleStatus_RTM_0196</t>
  </si>
  <si>
    <t>Forward_LoginLogout_Precondition_Mismatch_CarMode_Factory</t>
  </si>
  <si>
    <t>1. Car mode == Factory
2. Usage mode == Driving
3. RMS 服务开启：远程配置参数 RMS_Activate == activated
4. TCAM能获取到有效的VIN和ICCID
5. HvSysRlySts == HvActnSts_Open
6. RMS_Login_Delay_Time == RMS_Logout_Delay_Time = 0s
7. 已连接JIDU平台</t>
  </si>
  <si>
    <t>Telematics_RemoteVehicleStatus_RTM_0197</t>
  </si>
  <si>
    <t>Forward_LoginLogout_Precondition_Mismatch_CarMode_Transport</t>
  </si>
  <si>
    <t>1. Car mode == Transport
2. Usage mode == Driving
3. RMS 服务开启：远程配置参数 RMS_Activate == activated
4. TCAM能获取到有效的VIN和ICCID
5. HvSysRlySts == HvActnSts_Open
6. RMS_Login_Delay_Time == RMS_Logout_Delay_Time = 0s
7. 已经连接JIDU平台</t>
  </si>
  <si>
    <t>1.设置信号HvSysRlySts = HvActnSts_Clsd</t>
  </si>
  <si>
    <t>Telematics_RemoteVehicleStatus_RTM_0198</t>
  </si>
  <si>
    <t>Forward_LoginLogout_Precondition_Mismatch_UsageMode_Abandoned</t>
  </si>
  <si>
    <t>1. Car mode == Normal
2. Usage mode == Abandoned
3. RMS 服务开启：远程配置参数 RMS_Activate == activated
4. TCAM能获取到有效的VIN和ICCID
5. HvSysRlySts == HvActnSts_Open
6. RMS_Login_Delay_Time == RMS_Logout_Delay_Time = 0s
7. 已经连接JIDU平台</t>
  </si>
  <si>
    <t>Telematics_RemoteVehicleStatus_RTM_0199</t>
  </si>
  <si>
    <t>Forward_LoginLogout_Precondition_Mismatch_RMSActive_deactivated</t>
  </si>
  <si>
    <t>1. Car mode == Normal
2. Usage mode == Driving
3. RMS 服务开启：远程配置参数 RMS_Activate == deactivated
4. TCAM能获取到有效的VIN和ICCID
5. HvSysRlySts == HvActnSts_Open
6. RMS_Login_Delay_Time == RMS_Logout_Delay_Time = 0s
7. 已经连接JIDU平台</t>
  </si>
  <si>
    <t>Telematics_RemoteVehicleStatus_RTM_0200</t>
  </si>
  <si>
    <t>Forward_LoginLogout_Precondition_Mismatch_VIN_null</t>
  </si>
  <si>
    <t xml:space="preserve">1. 设置信号HvSysRlySts = HvActnSts_Clsd
</t>
  </si>
  <si>
    <t>Telematics_RemoteVehicleStatus_RTM_0201</t>
  </si>
  <si>
    <t>Forward_LoginLogout_Precondition_Mismatch_ICCID_null</t>
  </si>
  <si>
    <t>1. Car mode == Normal
2. Usage mode == Driving
3. RMS 服务开启：远程配置参数 RMS_Activate == activated
4. TCAM能获取到有效的VIN
5. 设置ICCID为无效值
6. HvSysRlySts == HvActnSts_Open
6. RMS_Login_Delay_Time == RMS_Logout_Delay_Time = 0s
7. 已经连接JIDU平台</t>
  </si>
  <si>
    <t>Telematics_RemoteVehicleStatus_RTM_0202</t>
  </si>
  <si>
    <t>Forward_LoginLogout_successfully_with_RMSLoginDelayTime_1s</t>
  </si>
  <si>
    <t>1. Car mode == Normal
2. Usage mode == Driving
3. RMS 服务开启：远程配置参数 RMS_Activate == activated
4. TCAM能获取到有效的VIN和ICCID
5. HvSysRlySts == HvActnSts_Open
6. RMS_Login_Delay_Time == 1s
7. RMS_Logout_Delay_Time == 1s
8. 已经连接JIDU平台</t>
  </si>
  <si>
    <t>Telematics_RemoteVehicleStatus_RTM_0203</t>
  </si>
  <si>
    <t>Forward_LoginLogout_successfully_with_RMSLoginDelayTime_10s</t>
  </si>
  <si>
    <t>1. Car mode == Normal
2. Usage mode == Driving
3. RMS 服务开启：远程配置参数 RMS_Activate == activated
4. TCAM能获取到有效的VIN和ICCID
5. HvSysRlySts == HvActnSts_Open
6. RMS_Login_Delay_Time == 10s
7. RMS_Logout_Delay_Time == 10s
8. 已经连接JIDU平台</t>
  </si>
  <si>
    <t>Telematics_RemoteVehicleStatus_RTM_0204</t>
  </si>
  <si>
    <t>Forward_LoginLogout_successfully_with_RMSLoginDelayTime_30s</t>
  </si>
  <si>
    <t>1. Car mode == Normal
2. Usage mode == Driving
3. RMS 服务开启：远程配置参数 RMS_Activate == activated
4. TCAM能获取到有效的VIN和ICCID
5. HvSysRlySts == HvActnSts_Open
6. RMS_Login_Delay_Time == 30s
7. RMS_Logout_Delay_Time == 30s
8. 已经连接JIDU平台</t>
  </si>
  <si>
    <t>Telematics_RemoteVehicleStatus_RTM_0205</t>
  </si>
  <si>
    <t>Forward_LoginLogout_successfully_with_RMSLoginDelayTime_60s</t>
  </si>
  <si>
    <t>1. Car mode == Normal
2. Usage mode == Driving
3. RMS 服务开启：远程配置参数 RMS_Activate == activated
4. TCAM能获取到有效的VIN和ICCID
5. HvSysRlySts == HvActnSts_Open
6. RMS_Login_Delay_Time == 60s
7. RMS_Logout_Delay_Time == 60s
8. 已经连接JIDU平台</t>
  </si>
  <si>
    <t>Telematics_RemoteVehicleStatus_RTM_0206</t>
  </si>
  <si>
    <t>Forward_Vehicle_send_data_to_JIDUServer_with_no_response_30s</t>
  </si>
  <si>
    <t>1. Car mode == Normal
2. Usage mode == Driving
3. RMS 服务开启：远程配置参数 RMS_Activate == activated
4. TCAM能获取到有效的VIN和ICCID
5. HvSysRlySts == HvActnSts_Open
6. 已经连接JIDU平台</t>
  </si>
  <si>
    <t xml:space="preserve">1. 设置信号HvSysRlySts = HvActnSts_Clsd
2. 模拟JIDU server30s不回复确认信息
</t>
  </si>
  <si>
    <t>1.Step 1, TCAM发送消息到云端
2. Step 2, TCAM重发消息到云端</t>
  </si>
  <si>
    <t>Telematics_RemoteVehicleStatus_RTM_0207</t>
  </si>
  <si>
    <t>Forward_Vehicle_send_heartbeat_after_connection_estabilished</t>
  </si>
  <si>
    <t>1.TCAM按照Heartbeat周期发送心跳数据到JIDU平台</t>
  </si>
  <si>
    <t>Telematics_RemoteVehicleStatus_RTM_0208</t>
  </si>
  <si>
    <t>Forward_Login_logou_serial_number</t>
  </si>
  <si>
    <t>1. TCAM主动GBserver建立链接发送登入数据到JIDU平台, 登入流水号为1
2. TCAM发送登出消息到JIDU平台，登出流水号为1
3. TCAM连接Gbserver后发送登入消息到JIDU平台，登入流水号为2
4. TCAM发送登出消息到JIDU平台，登出流水号为2</t>
  </si>
  <si>
    <t>Telematics_RemoteVehicleStatus_RTM_0209</t>
  </si>
  <si>
    <t>Forward_Sampling_data_store</t>
  </si>
  <si>
    <t>1. Car mode == Normal
2. Usage mode == Driving
3. RMS 服务开启：远程配置参数 RMS_Activate == activated
4. TCAM能获取到有效的VIN和ICCID
5. HvSysRlySts == HvActnSts_Open
6. 设置模式为转发</t>
  </si>
  <si>
    <t>1. Step 3, emmc存储30min断网期间数据，每秒一个报文数据，路径为/mnt/sdcard/neusoft/storage/company/</t>
  </si>
  <si>
    <t>Telematics_RemoteVehicleStatus_RTM_0210</t>
  </si>
  <si>
    <t>Forward_General_Warning_TemperatureDifferenceAlarm</t>
  </si>
  <si>
    <t>1. TCAM与JiDu Server建立连接
2. Car mode == Normal
3. Usage mode == Driving
4. TCAM能获取到有效的VIN和ICCID
5. HvSysRlySts == HvActnSts_Open</t>
  </si>
  <si>
    <t>Telematics_RemoteVehicleStatus_RTM_0211</t>
  </si>
  <si>
    <t>Forward_General_Warning_BatteryHighTemperatureAlarm</t>
  </si>
  <si>
    <t>1. 设置信号{HvActnSts} = HvActnSts_Clsd
2. 触发电池高温报警1级报警60s，HvCellTOverFlt = 1
3. 触发电池高温报警2级报警60s，HvCellTOverFlt = 1
4. 触发电池高温报警3级报警60s，HvCellTOverFlt = 1</t>
  </si>
  <si>
    <t>Telematics_RemoteVehicleStatus_RTM_0212</t>
  </si>
  <si>
    <t>Forward_General_Warning_OverVoltageAlarmofEnergyStorageDevice</t>
  </si>
  <si>
    <t>Telematics_RemoteVehicleStatus_RTM_0213</t>
  </si>
  <si>
    <t>Forward_General_Warning_UnderVoltageAlarmofEnergyStorageDevice</t>
  </si>
  <si>
    <t>Telematics_RemoteVehicleStatus_RTM_0214</t>
  </si>
  <si>
    <t>Forward_General_Warning_LowSOCAlarm</t>
  </si>
  <si>
    <t>Telematics_RemoteVehicleStatus_RTM_0215</t>
  </si>
  <si>
    <t>Forward_General_Warning_OverVoltageAlarmofBatteryCell</t>
  </si>
  <si>
    <t>Telematics_RemoteVehicleStatus_RTM_0216</t>
  </si>
  <si>
    <t>Forward_General_Warning_UnderVoltageAlarmofBatteryCell</t>
  </si>
  <si>
    <t>Telematics_RemoteVehicleStatus_RTM_0217</t>
  </si>
  <si>
    <t>Forward_General_Warning_OverHighSOCAlarm</t>
  </si>
  <si>
    <t>Telematics_RemoteVehicleStatus_RTM_0218</t>
  </si>
  <si>
    <t>Forward_General_Warning_SOCJumpAlarm</t>
  </si>
  <si>
    <t>Telematics_RemoteVehicleStatus_RTM_0219</t>
  </si>
  <si>
    <t>Forward_General_Warning_RechargeableEnergyStorageSystemSismatchAlarm</t>
  </si>
  <si>
    <t>Telematics_RemoteVehicleStatus_RTM_0220</t>
  </si>
  <si>
    <t>Forward_General_Warning_PoorBatteryCellConsistencyAlarm</t>
  </si>
  <si>
    <t>Telematics_RemoteVehicleStatus_RTM_0221</t>
  </si>
  <si>
    <t>Forward_General_Warning_InsulationAlarm</t>
  </si>
  <si>
    <t>Telematics_RemoteVehicleStatus_RTM_0222</t>
  </si>
  <si>
    <t>Forward_General_Warning_DCDCTemperatureAlarm</t>
  </si>
  <si>
    <t>Telematics_RemoteVehicleStatus_RTM_0223</t>
  </si>
  <si>
    <t>Forward_General_Warning_BrakeSystemWarning</t>
  </si>
  <si>
    <t>Telematics_RemoteVehicleStatus_RTM_0224</t>
  </si>
  <si>
    <t>Forward_General_Warning_DCDCStatusAlarm</t>
  </si>
  <si>
    <t>Telematics_RemoteVehicleStatus_RTM_0225</t>
  </si>
  <si>
    <t>Forward_General_Warning_DriveMotorControllerTemperatureAlarm</t>
  </si>
  <si>
    <t>Telematics_RemoteVehicleStatus_RTM_0226</t>
  </si>
  <si>
    <t>Forward_General_Warning_HighVoltageInterlock</t>
  </si>
  <si>
    <t xml:space="preserve">1. 设置信号{HvActnSts} = HvActnSts_Clsd
2. 触发高压互锁状态报警1级报警60s, HvilFlt = 1, usage mode=driving
3. 触发高压互锁状态报警1级报警60s, HvilFlt = 1, usage mode=!driving
</t>
  </si>
  <si>
    <t>Telematics_RemoteVehicleStatus_RTM_0227</t>
  </si>
  <si>
    <t>Forward_General_Warning_DriveMotorTemperatureAlarm</t>
  </si>
  <si>
    <t>Telematics_RemoteVehicleStatus_RTM_0228</t>
  </si>
  <si>
    <t>Forward_General_Warning_OverchargeAlarmofEnergyStorageDevice</t>
  </si>
  <si>
    <t>Telematics_RemoteVehicleStatus_RTM_0229</t>
  </si>
  <si>
    <t>Forward_General_Warning_2_divided_level3_alarms</t>
  </si>
  <si>
    <t>1. TCAM与JIDU平台建立连接
2. Car mode == Normal
3. Usage mode == Driving
4. TCAM能获取到有效的VIN和ICCID
5. HvSysRlySts == HvActnSts_Open</t>
  </si>
  <si>
    <t>Telematics_RemoteVehicleStatus_RTM_0230</t>
  </si>
  <si>
    <t>Forward_General_Warning_2_joint_level3_alarms</t>
  </si>
  <si>
    <t>Telematics_RemoteVehicleStatus_RTM_0231</t>
  </si>
  <si>
    <t>Forward_Extreme_data</t>
  </si>
  <si>
    <t>Telematics_RemoteVehicleStatus_RTM_0009</t>
  </si>
  <si>
    <t>Forward_Vehicle_send_message_during_disconnection</t>
  </si>
  <si>
    <t>架构基础/网络架构/网络管理</t>
  </si>
  <si>
    <t>BGM_NetWork_Management_0001</t>
  </si>
  <si>
    <t>BGM_wake_sleep_by_hardline</t>
  </si>
  <si>
    <t>1. BGM已启动
2. BGM已休眠</t>
  </si>
  <si>
    <t>1. BGM接通诊断唤醒线
2. BGM移除诊断唤醒线</t>
  </si>
  <si>
    <t>1. BGM可以被唤醒
2.BGM进入休眠状态</t>
  </si>
  <si>
    <t>BGM_NetWork_Management_0002</t>
  </si>
  <si>
    <t>BGM_wake_sleep_by_BodyCAN</t>
  </si>
  <si>
    <t>1. 通过BodyCAN 发送全局网络唤醒报文
2. 停发网络唤醒报文</t>
  </si>
  <si>
    <t>BGM_NetWork_Management_0003</t>
  </si>
  <si>
    <t>BGM_wake_sleep_by_InfoCAN</t>
  </si>
  <si>
    <t>1. 通过InfoCAN 发送全局网络唤醒报文
2. 停发网络唤醒报文</t>
  </si>
  <si>
    <t>BGM_NetWork_Management_0004</t>
  </si>
  <si>
    <t>BGM_wake_sleep_by_ChassisCAN2</t>
  </si>
  <si>
    <t>1. 通过ChassisCAN2 发送全局网络唤醒报文
2. 停发网络唤醒报文</t>
  </si>
  <si>
    <t>BGM_NetWork_Management_0005</t>
  </si>
  <si>
    <t>BGM_wake_sleep_by_BodyExposedCAN</t>
  </si>
  <si>
    <t>1. 通过BodyExposedCAN 发送全局网络唤醒报文
2. 停发网络唤醒报文</t>
  </si>
  <si>
    <t>BGM_NetWork_Management_0006</t>
  </si>
  <si>
    <t>BGM_wake_sleep_by_ChassisCAN1</t>
  </si>
  <si>
    <t>1. 通过ChassisCAN1 发送全局网络唤醒报文
2. 停发网络唤醒报文</t>
  </si>
  <si>
    <t>BGM_NetWork_Management_0007</t>
  </si>
  <si>
    <t>BGM_wake_sleep_by_PassiveSafetyCAN</t>
  </si>
  <si>
    <t>1. 通过PassiveSafetyCAN 发送全局网络唤醒报文
2. 停发网络唤醒报文</t>
  </si>
  <si>
    <t>BGM_NetWork_Management_0008</t>
  </si>
  <si>
    <t>BGM_wake_sleep_by_PropulsionCAN</t>
  </si>
  <si>
    <t>1. 通过PropulsionCAN 发送全局网络唤醒报文
2. 停发网络唤醒报文</t>
  </si>
  <si>
    <t>BGM_NetWork_Management_0009</t>
  </si>
  <si>
    <t>BGM_wake_sleep_by_SmartALMCAN2</t>
  </si>
  <si>
    <t>1. 通过SmartALMCAN2 发送全局网络唤醒报文
2. 停发网络唤醒报文</t>
  </si>
  <si>
    <t>BGM_NetWork_Management_0010</t>
  </si>
  <si>
    <t>BGM_wake_sleep_by_DiagnosticCAN</t>
  </si>
  <si>
    <t>1. 通过DiagnosticCAN 发送全局网络唤醒报文
2. 停发网络唤醒报文</t>
  </si>
  <si>
    <t>BGM_NetWork_Management_0011</t>
  </si>
  <si>
    <t>BGM_wake_sleep_by_SmartALMCAN1</t>
  </si>
  <si>
    <t>1. 通过SmartALMCAN1 发送全局网络唤醒报文
2. 停发网络唤醒报文</t>
  </si>
  <si>
    <t>BGM_NetWork_Management_0012</t>
  </si>
  <si>
    <t>BGM_wake_sleep_by_ADCCAN</t>
  </si>
  <si>
    <t>1. 通过ADCCAN 发送全局网络唤醒报文
2. 停发网络唤醒报文</t>
  </si>
  <si>
    <t>BGM_NetWork_Management_00013</t>
  </si>
  <si>
    <t>BGM_wake_sleep_by_ConnectivityCAN</t>
  </si>
  <si>
    <t>1. 通过ConnectivityCAN 发送全局网络唤醒报文
2. 停发网络唤醒报文</t>
  </si>
  <si>
    <t>自动驾驶/HAVP</t>
  </si>
  <si>
    <t>ConnectedVehicleService_HAVP_Prepare_0001</t>
  </si>
  <si>
    <t>HAVP_Wakeup test</t>
  </si>
  <si>
    <t>1. TCAM和TSP建立连接
2. 满足HAVP下发条件</t>
  </si>
  <si>
    <t>1. 从TSP下发HAVP控制指令
2.TCAM发出网络管理唤醒报文，切usagemode从abandon到inactive
3.TCAM向TSP上报唤醒结果</t>
  </si>
  <si>
    <t>1.TSP下发HAVP控制指令成功，TCAM被唤醒
2.usagemode成功切换到inactive，如果usagemode没有切换到inactive，则唤醒失败
3.TCAM向TSP反馈唤醒结果NetWakeFail</t>
  </si>
  <si>
    <t>ConnectedVehicleService_HAVP_Prepare_0002</t>
  </si>
  <si>
    <t>HAVP_RVI</t>
  </si>
  <si>
    <t>1. TCAM和TSP建立连接
2. 满足HAVP下发条件
3.从TSP下发HAVP控制指令，TCAM向TSP上报唤醒结果Success</t>
  </si>
  <si>
    <t>1.TCAM发送网络管理报文激活相关功能VFC
2. TCAM发送RVI request给BGM
3. TCAM从MCU端拿到RVI IV和RVI SK
4.TCAM通过算法使用RVI IV，RVI SK和RVI Challenge计算出RVI Response发送给</t>
  </si>
  <si>
    <t>1. BGM被唤醒，ACU被唤醒
2. BGM回复RVI Challenge
3. RVI IV和RVI SK和诊断下线写入值一致
4. BGM比对tcam发送的RVI Response和预期结果一致，则返回RVI认证通过给TCAM；若比对结果不一致，则返回RVI认证失败RVIAuthFail给TCAM
5.上报结果Success</t>
  </si>
  <si>
    <t>ConnectedVehicleService_HAVP_Prepare_0003</t>
  </si>
  <si>
    <t>HAVP_Dataup</t>
  </si>
  <si>
    <t>1. TCAM和TSP建立连接
2. 满足HAVP下发条件
3.从TSP下发HAVP控制指令，TCAM向TSP上报唤醒结果Success
4.RVI认证通过</t>
  </si>
  <si>
    <t>1.TCAM获取到ACU业务数据或模拟给数据，上报给TSP</t>
  </si>
  <si>
    <t>1.数据包含：AVPStatus，PausingCountdown，AVPSlamPath，SlamLocation，AVPRunningInfo，SlamPathMatchInfo，CarBasicInfo</t>
  </si>
  <si>
    <t>ConnectedVehicleService_HAVP_Start_0004</t>
  </si>
  <si>
    <t>HAVP_AVPCmd_Start</t>
  </si>
  <si>
    <t>1.TSP下发启动指令给TCAM，TCAM将Start请求发送给ACU
2.TCAM将</t>
  </si>
  <si>
    <t>1.ACU执行后将结果反馈给TCAM
2.上报TSP成功</t>
  </si>
  <si>
    <t>ConnectedVehicleService_HAVP_Stop_0005</t>
  </si>
  <si>
    <t>HAVP_AVPCmd_Stop</t>
  </si>
  <si>
    <t>1.TSP下发启动指令给TCAM，TCAM将Stop请求发送给ACU
2.TCAM将执行的结果上报TSP</t>
  </si>
  <si>
    <t>ConnectedVehicleService_HAVP_Restore_0006</t>
  </si>
  <si>
    <t>HAVP_AVPCmd_Restore</t>
  </si>
  <si>
    <t>1.TSP下发启动指令给TCAM，TCAM将Restore请求发送给ACU
2.TCAM将执行的结果上报TSP</t>
  </si>
  <si>
    <t>ConnectedVehicleService_HAVP_Exit_0007</t>
  </si>
  <si>
    <t>HAVP_AVPCmd_Exit</t>
  </si>
  <si>
    <t>1.TSP下发启动指令给TCAM，TCAM将Exit请求发送给ACU
2.TCAM将执行的结果上报TSP</t>
  </si>
  <si>
    <t>ConnectedVehicleService_HAVP_Time_0008</t>
  </si>
  <si>
    <t>HAVP_AVPCmd_time</t>
  </si>
  <si>
    <t>1.TSP下发HAVP控制指令成功，TCAM被唤醒，5s内唤醒BGM
2.usagemode成功切换到inactive，如果usagemode没有切换到inactive，则唤醒失败
3.TCAM向TSP反馈唤醒结果NetWakeSuccess</t>
  </si>
  <si>
    <t>ConnectedVehicleService_HAVP_API_0009</t>
  </si>
  <si>
    <t>HAVP_AVPCmd_From_TSP</t>
  </si>
  <si>
    <t>1. TCAM和TSP建立连接</t>
  </si>
  <si>
    <t>1. 使用测试程序模拟触发HAVP控制指令
2.查看log打印HAVPCmdResp</t>
  </si>
  <si>
    <t>1. log中打印数据包含：AVPType = 1（PREPARE）；AVPCmd = 2（AVP_OUT）；pathID = 3；uid = 4
2.制造执行结果成功，AVPRemSetResponseResult = 1（SUCCESS）</t>
  </si>
  <si>
    <t>ConnectedVehicleService_HAVP_API_0010</t>
  </si>
  <si>
    <t>1. log中打印数据包含：AVPType = 1（PREPARE）；AVPCmd = 2（AVP_OUT）；pathID = 3；uid = 4
2. 制造执行结果失败，HAVPErrorCode err = 0；（HAVPEndOK）</t>
  </si>
  <si>
    <t>ConnectedVehicleService_HAVP_API_0011</t>
  </si>
  <si>
    <t>1. log中打印数据包含：AVPType = 1（PREPARE）；AVPCmd = 2（AVP_OUT）；pathID = 3；uid = 4
2. 制造执行结果失败，HAVPErrorCode err = 1；（ReqFail）</t>
  </si>
  <si>
    <t>ConnectedVehicleService_HAVP_API_0012</t>
  </si>
  <si>
    <t>1. log中打印数据包含：AVPType = 1（PREPARE）；AVPCmd = 2（AVP_OUT）；pathID = 3；uid = 4
2. 制造执行结果失败，HAVPErrorCode err = 2；（NetWakeFail）</t>
  </si>
  <si>
    <t>ConnectedVehicleService_HAVP_API_0013</t>
  </si>
  <si>
    <t>1. log中打印数据包含：AVPType = 1（PREPARE）；AVPCmd = 2（AVP_OUT）；pathID = 3；uid = 4
2. 制造执行结果失败，HAVPErrorCode err = 3；（TelmChangeFail）</t>
  </si>
  <si>
    <t>ConnectedVehicleService_HAVP_API_0014</t>
  </si>
  <si>
    <t>1. log中打印数据包含：AVPType = 1（PREPARE）；AVPCmd = 2（AVP_OUT）；pathID = 3；uid = 4
2. 制造执行结果失败，HAVPErrorCode err = 4；（HAVPFctFail）</t>
  </si>
  <si>
    <t>ConnectedVehicleService_HAVP_API_0015</t>
  </si>
  <si>
    <t>1. log中打印数据包含：AVPType = 1（PREPARE）；AVPCmd = 2（AVP_OUT）；pathID = 3；uid = 4
2. 制造执行结果失败，HAVPErrorCode err = 5；（HAVPFctEndFail）</t>
  </si>
  <si>
    <t>ConnectedVehicleService_HAVP_API_0016</t>
  </si>
  <si>
    <t>1. log中打印数据包含：AVPType = 1（PREPARE）；AVPCmd = 2（AVP_OUT）；pathID = 3；uid = 4
2. 制造执行结果失败，HAVPErrorCode err = 6；（RVIAuthFail）</t>
  </si>
  <si>
    <t>ConnectedVehicleService_HAVP_API_0017</t>
  </si>
  <si>
    <t>1. log中打印数据包含：AVPType = 2（START）；AVPCmd = 2（AVP_OUT）；pathID = 3；uid = 4
2.制造执行结果成功，AVPRemSetResponseResult = 1（SUCCESS）</t>
  </si>
  <si>
    <t>ConnectedVehicleService_HAVP_API_0018</t>
  </si>
  <si>
    <t>1. log中打印数据包含：AVPType = 2（START）；AVPCmd = 2（AVP_OUT）；pathID = 3；uid = 4
2. 制造执行结果失败，HAVPErrorCode err = 0；（HAVPEndOK）</t>
  </si>
  <si>
    <t>ConnectedVehicleService_HAVP_API_0019</t>
  </si>
  <si>
    <t>1. log中打印数据包含：AVPType = 2（START）；AVPCmd = 2（AVP_OUT）；pathID = 3；uid = 4
2. 制造执行结果失败，HAVPErrorCode err = 1；（ReqFail）</t>
  </si>
  <si>
    <t>ConnectedVehicleService_HAVP_API_0020</t>
  </si>
  <si>
    <t>1. log中打印数据包含：AVPType = 2（START）；AVPCmd = 2（AVP_OUT）；pathID = 3；uid = 4
2. 制造执行结果失败，HAVPErrorCode err = 2；（NetWakeFail）</t>
  </si>
  <si>
    <t>ConnectedVehicleService_HAVP_API_0021</t>
  </si>
  <si>
    <t>1. log中打印数据包含：AVPType = 2（START）；AVPCmd = 2（AVP_OUT）；pathID = 3；uid = 4
2. 制造执行结果失败，HAVPErrorCode err = 3；（TelmChangeFail）</t>
  </si>
  <si>
    <t>ConnectedVehicleService_HAVP_API_0022</t>
  </si>
  <si>
    <t>1. log中打印数据包含：AVPType = 2（START））；AVPCmd = 2（AVP_OUT）；pathID = 3；uid = 4
2. 制造执行结果失败，HAVPErrorCode err = 4；（HAVPFctFail）</t>
  </si>
  <si>
    <t>ConnectedVehicleService_HAVP_API_0023</t>
  </si>
  <si>
    <t>1. log中打印数据包含：AVPType = 2（START）；AVPCmd = 2（AVP_OUT）；pathID = 3；uid = 4
2. 制造执行结果失败，HAVPErrorCode err = 5；（HAVPFctEndFail）</t>
  </si>
  <si>
    <t>ConnectedVehicleService_HAVP_API_0024</t>
  </si>
  <si>
    <t>1. log中打印数据包含：AVPType = 2（START）；AVPCmd = 2（AVP_OUT）；pathID = 3；uid = 4
2. 制造执行结果失败，HAVPErrorCode err = 6；（RVIAuthFail）</t>
  </si>
  <si>
    <t>ConnectedVehicleService_HAVP_API_0025</t>
  </si>
  <si>
    <t>1. log中打印数据包含：AVPType = 3（STOP）；AVPCmd = 2（AVP_OUT）；pathID = 3；uid = 4
2.制造执行结果成功，AVPRemSetResponseResult = 1（SUCCESS）</t>
  </si>
  <si>
    <t>ConnectedVehicleService_HAVP_API_0026</t>
  </si>
  <si>
    <t>1. log中打印数据包含：AVPType = 3（STOP）；AVPCmd = 2（AVP_OUT）；pathID = 3；uid = 4
2. 制造执行结果失败，HAVPErrorCode err = 0；（HAVPEndOK）</t>
  </si>
  <si>
    <t>ConnectedVehicleService_HAVP_API_0027</t>
  </si>
  <si>
    <t>1. log中打印数据包含：AVPType = 3（STOP）；AVPCmd = 2（AVP_OUT）；pathID = 3；uid = 4
2. 制造执行结果失败，HAVPErrorCode err = 1；（ReqFail）</t>
  </si>
  <si>
    <t>ConnectedVehicleService_HAVP_API_0028</t>
  </si>
  <si>
    <t>1. log中打印数据包含：AVPType = 3（STOP）；AVPCmd = 2（AVP_OUT）；pathID = 3；uid = 4
2. 制造执行结果失败，HAVPErrorCode err = 2；（NetWakeFail）</t>
  </si>
  <si>
    <t>ConnectedVehicleService_HAVP_API_0029</t>
  </si>
  <si>
    <t>1. log中打印数据包含：AVPType = 3（STOP）；AVPCmd = 2（AVP_OUT）；pathID = 3；uid = 4
2. 制造执行结果失败，HAVPErrorCode err = 3；（TelmChangeFail）</t>
  </si>
  <si>
    <t>ConnectedVehicleService_HAVP_API_0030</t>
  </si>
  <si>
    <t>1. log中打印数据包含：AVPType = 3（STOP）；AVPCmd = 2（AVP_OUT）；pathID = 3；uid = 4
2. 制造执行结果失败，HAVPErrorCode err = 4；（HAVPFctFail）</t>
  </si>
  <si>
    <t>ConnectedVehicleService_HAVP_API_0031</t>
  </si>
  <si>
    <t>1. log中打印数据包含：AVPType = 3（STOP）；AVPCmd = 2（AVP_OUT）；pathID = 3；uid = 4
2. 制造执行结果失败，HAVPErrorCode err = 5；（HAVPFctEndFail）</t>
  </si>
  <si>
    <t>ConnectedVehicleService_HAVP_API_0032</t>
  </si>
  <si>
    <t>1. log中打印数据包含：AVPType = 3（STOP）；AVPCmd = 2（AVP_OUT）；pathID = 3；uid = 4
2. 制造执行结果失败，HAVPErrorCode err = 6；（RVIAuthFail）</t>
  </si>
  <si>
    <t>ConnectedVehicleService_HAVP_API_0033</t>
  </si>
  <si>
    <t>1. log中打印数据包含：AVPType = 4（STOP_RECOVER）；AVPCmd = 2（AVP_OUT）；pathID = 3；uid = 4
2.制造执行结果成功，AVPRemSetResponseResult = 1（SUCCESS）</t>
  </si>
  <si>
    <t>ConnectedVehicleService_HAVP_API_0034</t>
  </si>
  <si>
    <t>1. log中打印数据包含：AVPType = 4（STOP_RECOVER）；AVPCmd = 2（AVP_OUT）；pathID = 3；uid = 4
2. 制造执行结果失败，HAVPErrorCode err = 0；（HAVPEndOK）</t>
  </si>
  <si>
    <t>ConnectedVehicleService_HAVP_API_0035</t>
  </si>
  <si>
    <t>1. log中打印数据包含：AVPType = 4（STOP_RECOVER）；AVPCmd = 2（AVP_OUT）；pathID = 3；uid = 4
2. 制造执行结果失败，HAVPErrorCode err = 1；（ReqFail）</t>
  </si>
  <si>
    <t>ConnectedVehicleService_HAVP_API_0036</t>
  </si>
  <si>
    <t>1. log中打印数据包含：AVPType = 4（STOP_RECOVER）；AVPCmd = 2（AVP_OUT）；pathID = 3；uid = 4
2. 制造执行结果失败，HAVPErrorCode err = 2；（NetWakeFail）</t>
  </si>
  <si>
    <t>ConnectedVehicleService_HAVP_API_0037</t>
  </si>
  <si>
    <t>1. log中打印数据包含：AVPType = 4（STOP_RECOVER）；AVPCmd = 2（AVP_OUT）；pathID = 3；uid = 4
2. 制造执行结果失败，HAVPErrorCode err = 3；（TelmChangeFail）</t>
  </si>
  <si>
    <t>ConnectedVehicleService_HAVP_API_0038</t>
  </si>
  <si>
    <t>1. log中打印数据包含：AVPType = 4（STOP_RECOVER）；AVPCmd = 2（AVP_OUT）；pathID = 3；uid = 4
2. 制造执行结果失败，HAVPErrorCode err = 4；（HAVPFctFail）</t>
  </si>
  <si>
    <t>ConnectedVehicleService_HAVP_API_0039</t>
  </si>
  <si>
    <t>1. log中打印数据包含：AVPType = 4（STOP_RECOVER）；AVPCmd = 2（AVP_OUT）；pathID = 3；uid = 4
2. 制造执行结果失败，HAVPErrorCode err = 5；（HAVPFctEndFail）</t>
  </si>
  <si>
    <t>ConnectedVehicleService_HAVP_API_0040</t>
  </si>
  <si>
    <t>1. log中打印数据包含：AVPType = 4（STOP_RECOVER）；AVPCmd = 2（AVP_OUT）；pathID = 3；uid = 4
2. 制造执行结果失败，HAVPErrorCode err = 6；（RVIAuthFail）</t>
  </si>
  <si>
    <t>ConnectedVehicleService_HAVP_API_0041</t>
  </si>
  <si>
    <t>1. log中打印数据包含：AVPType = 5（OUT）；AVPCmd = 2（AVP_OUT）；pathID = 3；uid = 4
2.制造执行结果成功，AVPRemSetResponseResult = 1（SUCCESS）</t>
  </si>
  <si>
    <t>ConnectedVehicleService_HAVP_API_0042</t>
  </si>
  <si>
    <t>1. log中打印数据包含：AVPType = 5（OUT）；AVPCmd = 2（AVP_OUT）；pathID = 3；uid = 4
2. 制造执行结果失败，HAVPErrorCode err = 0；（HAVPEndOK）</t>
  </si>
  <si>
    <t>ConnectedVehicleService_HAVP_API_0043</t>
  </si>
  <si>
    <t>1. log中打印数据包含：AVPType = 5（OUT）；AVPCmd = 2（AVP_OUT）；pathID = 3；uid = 4
2. 制造执行结果失败，HAVPErrorCode err = 1；（ReqFail）</t>
  </si>
  <si>
    <t>ConnectedVehicleService_HAVP_API_0044</t>
  </si>
  <si>
    <t>1. log中打印数据包含：AVPType = 5（OUT）；AVPCmd = 2（AVP_OUT）；pathID = 3；uid = 4
2. 制造执行结果失败，HAVPErrorCode err = 2；（NetWakeFail）</t>
  </si>
  <si>
    <t>ConnectedVehicleService_HAVP_API_0045</t>
  </si>
  <si>
    <t>1. log中打印数据包含：AVPType = 5（OUT））；AVPCmd = 2（AVP_OUT）；pathID = 3；uid = 4
2. 制造执行结果失败，HAVPErrorCode err = 3；（TelmChangeFail）</t>
  </si>
  <si>
    <t>ConnectedVehicleService_HAVP_API_0046</t>
  </si>
  <si>
    <t>1. log中打印数据包含：AVPType = 5（OUT）；AVPCmd = 2（AVP_OUT）；pathID = 3；uid = 4
2. 制造执行结果失败，HAVPErrorCode err = 4；（HAVPFctFail）</t>
  </si>
  <si>
    <t>ConnectedVehicleService_HAVP_API_0047</t>
  </si>
  <si>
    <t>1. log中打印数据包含：AVPType = 5（OUT）；AVPCmd = 2（AVP_OUT）；pathID = 3；uid = 4
2. 制造执行结果失败，HAVPErrorCode err = 5；（HAVPFctEndFail）</t>
  </si>
  <si>
    <t>ConnectedVehicleService_HAVP_API_0048</t>
  </si>
  <si>
    <t>1. log中打印数据包含：AVPType = 5（OUT）；AVPCmd = 2（AVP_OUT）；pathID = 3；uid = 4
2. 制造执行结果失败，HAVPErrorCode err = 6；（RVIAuthFail）</t>
  </si>
  <si>
    <t>ConnectedVehicleService_HAVP_API_0049</t>
  </si>
  <si>
    <t>1. log中打印数据包含：AVPType = 1（PREPARE）；AVPCmd = 1（AVP_IN）；pathID = 3；uid = 4
2.制造执行结果成功，AVPRemSetResponseResult = 1（SUCCESS）</t>
  </si>
  <si>
    <t>ConnectedVehicleService_HAVP_API_0050</t>
  </si>
  <si>
    <t>1. log中打印数据包含：AVPType = 1（PREPARE）；AVPCmd = 1（AVP_IN）；pathID = 3；uid = 4
2. 制造执行结果失败，HAVPErrorCode err = 0；（HAVPEndOK）</t>
  </si>
  <si>
    <t>ConnectedVehicleService_HAVP_API_0051</t>
  </si>
  <si>
    <t>1. log中打印数据包含：AVPType = 1（PREPARE）；AVPCmd = 1（AVP_IN）；pathID = 3；uid = 4
2. 制造执行结果失败，HAVPErrorCode err = 1；（ReqFail）</t>
  </si>
  <si>
    <t>ConnectedVehicleService_HAVP_API_0052</t>
  </si>
  <si>
    <t>1. log中打印数据包含：AVPType = 1（PREPARE）；AVPCmd = 1（AVP_IN）；pathID = 3；uid = 4
2. 制造执行结果失败，HAVPErrorCode err = 2；（NetWakeFail）</t>
  </si>
  <si>
    <t>ConnectedVehicleService_HAVP_API_0053</t>
  </si>
  <si>
    <t>1. log中打印数据包含：AVPType = 1（PREPARE）；AVPCmd = 1（AVP_IN）；pathID = 3；uid = 4
2. 制造执行结果失败，HAVPErrorCode err = 3；（TelmChangeFail）</t>
  </si>
  <si>
    <t>ConnectedVehicleService_HAVP_API_0054</t>
  </si>
  <si>
    <t>1. log中打印数据包含：AVPType = 1（PREPARE）；AVPCmd = 1（AVP_IN）；pathID = 3；uid = 4
2. 制造执行结果失败，HAVPErrorCode err = 4；（HAVPFctFail）</t>
  </si>
  <si>
    <t>ConnectedVehicleService_HAVP_API_0055</t>
  </si>
  <si>
    <t>1. log中打印数据包含：AVPType = 1（PREPARE）；AVPCmd = 1（AVP_IN）；pathID = 3；uid = 4
2. 制造执行结果失败，HAVPErrorCode err = 5；（HAVPFctEndFail）</t>
  </si>
  <si>
    <t>ConnectedVehicleService_HAVP_API_0056</t>
  </si>
  <si>
    <t>1. log中打印数据包含：AVPType = 1（PREPARE）；AVPCmd = 1（AVP_IN）；pathID = 3；uid = 4
2. 制造执行结果失败，HAVPErrorCode err = 6；（RVIAuthFail）</t>
  </si>
  <si>
    <t>ConnectedVehicleService_HAVP_API_0057</t>
  </si>
  <si>
    <t>1. log中打印数据包含：AVPType = 2（START）；AVPCmd = 1（AVP_IN）；pathID = 3；uid = 4
2.制造执行结果成功，AVPRemSetResponseResult = 1（SUCCESS）</t>
  </si>
  <si>
    <t>ConnectedVehicleService_HAVP_API_0058</t>
  </si>
  <si>
    <t>1. log中打印数据包含：AVPType = 2（START）；AVPCmd = 1（AVP_IN）；pathID = 3；uid = 4
2. 制造执行结果失败，HAVPErrorCode err = 0；（HAVPEndOK）</t>
  </si>
  <si>
    <t>ConnectedVehicleService_HAVP_API_0059</t>
  </si>
  <si>
    <t>1. log中打印数据包含：AVPType = 2（START）；AVPCmd = 1（AVP_IN）；pathID = 3；uid = 4
2. 制造执行结果失败，HAVPErrorCode err = 1；（ReqFail）</t>
  </si>
  <si>
    <t>ConnectedVehicleService_HAVP_API_0060</t>
  </si>
  <si>
    <t>1. log中打印数据包含：AVPType = 2（START）；AVPCmd = 1（AVP_IN）；pathID = 3；uid = 4
2. 制造执行结果失败，HAVPErrorCode err = 2；（NetWakeFail）</t>
  </si>
  <si>
    <t>ConnectedVehicleService_HAVP_API_0061</t>
  </si>
  <si>
    <t>1. log中打印数据包含：AVPType = 2（START）；AVPCmd = 1（AVP_IN）；pathID = 3；uid = 4
2. 制造执行结果失败，HAVPErrorCode err = 3；（TelmChangeFail）</t>
  </si>
  <si>
    <t>ConnectedVehicleService_HAVP_API_0062</t>
  </si>
  <si>
    <t>1. log中打印数据包含：AVPType = 2（START））；AVPCmd = 1（AVP_IN）；pathID = 3；uid = 4
2. 制造执行结果失败，HAVPErrorCode err = 4；（HAVPFctFail）</t>
  </si>
  <si>
    <t>ConnectedVehicleService_HAVP_API_0063</t>
  </si>
  <si>
    <t>1. log中打印数据包含：AVPType = 2（START）；AVPCmd = 1（AVP_IN）；pathID = 3；uid = 4
2. 制造执行结果失败，HAVPErrorCode err = 5；（HAVPFctEndFail）</t>
  </si>
  <si>
    <t>ConnectedVehicleService_HAVP_API_0064</t>
  </si>
  <si>
    <t>1. log中打印数据包含：AVPType = 2（START）；AVPCmd = 1（AVP_IN）；pathID = 3；uid = 4
2. 制造执行结果失败，HAVPErrorCode err = 6；（RVIAuthFail）</t>
  </si>
  <si>
    <t>ConnectedVehicleService_HAVP_API_0065</t>
  </si>
  <si>
    <t>1. log中打印数据包含：AVPType = 3（STOP）；AVPCmd = 1（AVP_IN）；pathID = 3；uid = 4
2.制造执行结果成功，AVPRemSetResponseResult = 1（SUCCESS）</t>
  </si>
  <si>
    <t>ConnectedVehicleService_HAVP_API_0066</t>
  </si>
  <si>
    <t>1. log中打印数据包含：AVPType = 3（STOP）；AVPCmd = 1（AVP_IN））；pathID = 3；uid = 4
2. 制造执行结果失败，HAVPErrorCode err = 0；（HAVPEndOK）</t>
  </si>
  <si>
    <t>ConnectedVehicleService_HAVP_API_0067</t>
  </si>
  <si>
    <t>1. log中打印数据包含：AVPType = 3（STOP）；AVPCmd = 1（AVP_IN））；pathID = 3；uid = 4
2. 制造执行结果失败，HAVPErrorCode err = 1；（ReqFail）</t>
  </si>
  <si>
    <t>ConnectedVehicleService_HAVP_API_0068</t>
  </si>
  <si>
    <t>1. log中打印数据包含：AVPType = 3（STOP）；AVPCmd = 1（AVP_IN）；pathID = 3；uid = 4
2. 制造执行结果失败，HAVPErrorCode err = 2；（NetWakeFail）</t>
  </si>
  <si>
    <t>ConnectedVehicleService_HAVP_API_0069</t>
  </si>
  <si>
    <t>1. log中打印数据包含：AVPType = 3（STOP）；AVPCmd = 1（AVP_IN）；pathID = 3；uid = 4
2. 制造执行结果失败，HAVPErrorCode err = 3；（TelmChangeFail）</t>
  </si>
  <si>
    <t>ConnectedVehicleService_HAVP_API_0070</t>
  </si>
  <si>
    <t>1. log中打印数据包含：AVPType = 3（STOP）；AVPCmd = 1（AVP_IN））；pathID = 3；uid = 4
2. 制造执行结果失败，HAVPErrorCode err = 4；（HAVPFctFail）</t>
  </si>
  <si>
    <t>ConnectedVehicleService_HAVP_API_0071</t>
  </si>
  <si>
    <t>1. log中打印数据包含：AVPType = 3（STOP）；AVPCmd = 1（AVP_IN）；pathID = 3；uid = 4
2. 制造执行结果失败，HAVPErrorCode err = 5；（HAVPFctEndFail）</t>
  </si>
  <si>
    <t>ConnectedVehicleService_HAVP_API_0072</t>
  </si>
  <si>
    <t>1. log中打印数据包含：AVPType = 3（STOP）；AVPCmd = 1（AVP_IN）；pathID = 3；uid = 4
2. 制造执行结果失败，HAVPErrorCode err = 6；（RVIAuthFail）</t>
  </si>
  <si>
    <t>ConnectedVehicleService_HAVP_API_0073</t>
  </si>
  <si>
    <t>1. log中打印数据包含：AVPType = 4（STOP_RECOVER）；AVPCmd = 1（AVP_IN）；pathID = 3；uid = 4
2.制造执行结果成功，AVPRemSetResponseResult = 1（SUCCESS）</t>
  </si>
  <si>
    <t>ConnectedVehicleService_HAVP_API_0074</t>
  </si>
  <si>
    <t>1. log中打印数据包含：AVPType = 4（STOP_RECOVER）；AVPCmd = 1（AVP_IN）；pathID = 3；uid = 4
2. 制造执行结果失败，HAVPErrorCode err = 0；（HAVPEndOK）</t>
  </si>
  <si>
    <t>ConnectedVehicleService_HAVP_API_0075</t>
  </si>
  <si>
    <t>1. log中打印数据包含：AVPType = 4（STOP_RECOVER）；AVPCmd = 1（AVP_IN）；pathID = 3；uid = 4
2. 制造执行结果失败，HAVPErrorCode err = 1；（ReqFail）</t>
  </si>
  <si>
    <t>ConnectedVehicleService_HAVP_API_0076</t>
  </si>
  <si>
    <t>1. log中打印数据包含：AVPType = 4（STOP_RECOVER）；AVPCmd = 1（AVP_IN）；pathID = 3；uid = 4
2. 制造执行结果失败，HAVPErrorCode err = 2；（NetWakeFail）</t>
  </si>
  <si>
    <t>ConnectedVehicleService_HAVP_API_0077</t>
  </si>
  <si>
    <t>1. log中打印数据包含：AVPType = 4（STOP_RECOVER）；AVPCmd = 1（AVP_IN）；pathID = 3；uid = 4
2. 制造执行结果失败，HAVPErrorCode err = 3；（TelmChangeFail）</t>
  </si>
  <si>
    <t>ConnectedVehicleService_HAVP_API_0078</t>
  </si>
  <si>
    <t>1. log中打印数据包含：AVPType = 4（STOP_RECOVER）；AVPCmd = 1（AVP_IN）；pathID = 3；uid = 4
2. 制造执行结果失败，HAVPErrorCode err = 4；（HAVPFctFail）</t>
  </si>
  <si>
    <t>ConnectedVehicleService_HAVP_API_0079</t>
  </si>
  <si>
    <t>1. log中打印数据包含：AVPType = 4（STOP_RECOVER）；AVPCmd = 1（AVP_IN）；pathID = 3；uid = 4
2. 制造执行结果失败，HAVPErrorCode err = 5；（HAVPFctEndFail）</t>
  </si>
  <si>
    <t>ConnectedVehicleService_HAVP_API_0080</t>
  </si>
  <si>
    <t>1. log中打印数据包含：AVPType = 4（STOP_RECOVER）；AVPCmd = 1（AVP_IN）；pathID = 3；uid = 4
2. 制造执行结果失败，HAVPErrorCode err = 6；（RVIAuthFail）</t>
  </si>
  <si>
    <t>ConnectedVehicleService_HAVP_API_0081</t>
  </si>
  <si>
    <t>1. log中打印数据包含：AVPType = 5（OUT）；1（AVP_IN）；pathID = 3；uid = 4
2.制造执行结果成功，AVPRemSetResponseResult = 1（SUCCESS）</t>
  </si>
  <si>
    <t>ConnectedVehicleService_HAVP_API_0082</t>
  </si>
  <si>
    <t>1. log中打印数据包含：AVPType = 5（OUT）；1（AVP_IN）；pathID = 3；uid = 4
2. 制造执行结果失败，HAVPErrorCode err = 0；（HAVPEndOK）</t>
  </si>
  <si>
    <t>ConnectedVehicleService_HAVP_API_0083</t>
  </si>
  <si>
    <t>1. log中打印数据包含：AVPType = 5（OUT）；1（AVP_IN）；pathID = 3；uid = 4
2. 制造执行结果失败，HAVPErrorCode err = 1；（ReqFail）</t>
  </si>
  <si>
    <t>ConnectedVehicleService_HAVP_API_0084</t>
  </si>
  <si>
    <t>1. log中打印数据包含：AVPType = 5（OUT）；1（AVP_IN）；pathID = 3；uid = 4
2. 制造执行结果失败，HAVPErrorCode err = 2；（NetWakeFail）</t>
  </si>
  <si>
    <t>ConnectedVehicleService_HAVP_API_0085</t>
  </si>
  <si>
    <t>1. log中打印数据包含：AVPType = 5（OUT）；AVPCmd = 1（AVP_IN）；pathID = 3；uid = 4
2. 制造执行结果失败，HAVPErrorCode err = 3；（TelmChangeFail）</t>
  </si>
  <si>
    <t>ConnectedVehicleService_HAVP_API_0086</t>
  </si>
  <si>
    <t>1. log中打印数据包含：AVPType = 5（OUT）；AVPCmd = 1（AVP_IN）；pathID = 3；uid = 4
2. 制造执行结果失败，HAVPErrorCode err = 4；（HAVPFctFail）</t>
  </si>
  <si>
    <t>ConnectedVehicleService_HAVP_API_0087</t>
  </si>
  <si>
    <t>1. log中打印数据包含：AVPType = 5（OUT）；AVPCmd = 1（AVP_IN）；pathID = 3；uid = 4
2. 制造执行结果失败，HAVPErrorCode err = 5；（HAVPFctEndFail）</t>
  </si>
  <si>
    <t>ConnectedVehicleService_HAVP_API_0088</t>
  </si>
  <si>
    <t>1. log中打印数据包含：AVPType = 5（OUT）；AVPCmd = 1（AVP_IN）；pathID = 3；uid = 4
2. 制造执行结果失败，HAVPErrorCode err = 6；（RVIAuthFail）</t>
  </si>
  <si>
    <t>ConnectedVehicleService_HAVP_API_0089</t>
  </si>
  <si>
    <t>HAVP_AVPCmd_Data_Up</t>
  </si>
  <si>
    <t>1. 使用测试程序模拟触发HAVP业务数据发送给TCAM</t>
  </si>
  <si>
    <t>1.log中打印数据包括：AVPStatus，PausingCountdown，AVPSlamPath，SlamLocation，AVPRunningInfo，SlamPathMatchInfo，CarBasicInfo</t>
  </si>
  <si>
    <t>ConnectedVehicleService_HAVP_API_0090</t>
  </si>
  <si>
    <t>1. 手动修改AVPStatus，然后使用测试程序模拟触发HAVP业务数据发送给TCAM</t>
  </si>
  <si>
    <t>1.log中打印数据已修改数据AVPStatus和其他未修改数据并成功上报TSP（查看打印）。</t>
  </si>
  <si>
    <t>ConnectedVehicleService_HAVP_API_0091</t>
  </si>
  <si>
    <t>1. 手动修改AVPSlamPath，然后使用测试程序模拟触发HAVP业务数据发送给TCAM</t>
  </si>
  <si>
    <t>1.log中打印数据已修改数据AVPSlamPath和其他未修改数据并成功上报TSP（查看打印）。</t>
  </si>
  <si>
    <t>ConnectedVehicleService_HAVP_API_0092</t>
  </si>
  <si>
    <t>1. 手动修改Slamlocation，然后使用测试程序模拟触发HAVP业务数据发送给TCAM</t>
  </si>
  <si>
    <t>2.log中打印数据已修改数据Slamlocation和其他未修改数据并成功上报TSP（查看打印）。</t>
  </si>
  <si>
    <t>ConnectedVehicleService_HAVP_API_0093</t>
  </si>
  <si>
    <t>1. 手动修改AVPRunningInfo，然后使用测试程序模拟触发HAVP业务数据发送给TCAM</t>
  </si>
  <si>
    <t>3.log中打印数据已修改数据AVPRunningInfo和其他未修改数据并成功上报TSP（查看打印）。</t>
  </si>
  <si>
    <t>ConnectedVehicleService_HAVP_API_0094</t>
  </si>
  <si>
    <t>1. 手动修改SlamPathMatchInfo，然后使用测试程序模拟触发HAVP业务数据发送给TCAM</t>
  </si>
  <si>
    <t>1.log中打印数据已修改数据SlamPathMatchInfo和其他未修改数据并成功上报TSP（查看打印）。</t>
  </si>
  <si>
    <t>ConnectedVehicleService_HAVP_API_0095</t>
  </si>
  <si>
    <t>1. 手动修改CarBasicInfo，然后使用测试程序模拟触发HAVP业务数据发送给TCAM</t>
  </si>
  <si>
    <t>1.log中打印数据已修改数据CarBasicInfo和其他未修改数据并成功上报TSP（查看打印）。</t>
  </si>
  <si>
    <t>ConnectedVehicleService_HAVP_API_0096</t>
  </si>
  <si>
    <t>HAVP_RVI_Algorithm</t>
  </si>
  <si>
    <t>1. 手动喂RVI Challenge值给TCAM，TCAM根据RVI Challenge，RVI IV(固定值)和诊断写入的SK计算RV Response
2.比对RVI Response和RV预期是否一致</t>
  </si>
  <si>
    <t>1. 从log查看打印的RV Response
2. RV Response与预期一致，RVI认证通过</t>
  </si>
  <si>
    <t>ConnectedVehicleService_HAVP_API_0097</t>
  </si>
  <si>
    <t>1. 从log查看打印的RV Response
2. RV Response与预期不一致，RVI认证失败</t>
  </si>
  <si>
    <t>Telematics_VehcileCloudRoute_RVC_0001</t>
  </si>
  <si>
    <t>RemoteControl_1command_10times</t>
  </si>
  <si>
    <t>1. TCAM与JiDu Server建立连接
2. 车辆状态远程命令下发条件</t>
  </si>
  <si>
    <t>1. 1s内，模拟云端下发一种命令10次
2.重复1min</t>
  </si>
  <si>
    <t>1.车端可正常下发命令至执行单元，命令无丢失和严重延迟</t>
  </si>
  <si>
    <t>Telematics_VehcileCloudRoute_RVC_0002</t>
  </si>
  <si>
    <t>RemoteControl_all_commands_2times</t>
  </si>
  <si>
    <t>1. TCAM与JiDu Server建立连接
2. 车辆状态满足数据上报要求</t>
  </si>
  <si>
    <t>1. 1s内，模拟云端下发所有命令2次
2. 重复1min</t>
  </si>
  <si>
    <t>Telematics_VehcileCloudRoute_RVC_0003</t>
  </si>
  <si>
    <t>RemoteControl_1command_5times</t>
  </si>
  <si>
    <t>1. 1s内，模拟云端下发一种命令5次
2. 重复1小时</t>
  </si>
  <si>
    <t>Telematics_VehcileCloudRoute_RVC_0004</t>
  </si>
  <si>
    <t>DataUpload_RemoteControl_at_same_time</t>
  </si>
  <si>
    <t>1. TCAM与JiDu Server建立连接
2. 车辆状态远程命令下发条件
3. 车辆状态满足数据上报要求</t>
  </si>
  <si>
    <t>1. 1s内，在车端模拟所有事件各触发1次
2. 1s内，模拟云端下发所有命令1次
3.重复10min</t>
  </si>
  <si>
    <t>1.服务器端能够接收到所有发送的消息，无丢帧，和严重延迟；车端可正常下发命令至执行单元，命令无丢失和严重延迟</t>
  </si>
  <si>
    <t>Telematics_VehcileCloudRoute_RVC_0005</t>
  </si>
  <si>
    <t>RemoteControl_command_forward</t>
  </si>
  <si>
    <t>1. 模拟云端进行远程命令下发</t>
  </si>
  <si>
    <t>Telematics_VehcileCloudRoute_RVC_0006</t>
  </si>
  <si>
    <t>RemoteControl_command_forward_stop</t>
  </si>
  <si>
    <t>1. 模拟云端进行远程命令下发
2. 重启forward服务</t>
  </si>
  <si>
    <t>1.forward服务重启后不会转发已执行命令</t>
  </si>
  <si>
    <t>Telematics_VehcileCloudRoute_RVC_0007</t>
  </si>
  <si>
    <t>RemoteControl_command_reforward</t>
  </si>
  <si>
    <t>1. Stop forward服务
2. 模拟云端进行远程命令下发
3. 启动forward服务</t>
  </si>
  <si>
    <t>1.Step3后，forward服务转发远程命令到执行单元</t>
  </si>
  <si>
    <t>Planned</t>
  </si>
  <si>
    <t>Test Result</t>
  </si>
  <si>
    <t>架构基础/FOTA</t>
  </si>
  <si>
    <t>FOTA任务取消_001</t>
  </si>
  <si>
    <t>FOTA任务取消异常机制_删除软件包失败</t>
  </si>
  <si>
    <t>1.Carmode 为 非factory；
2.移动网络连接正常；
3.云端建立 TCAM ECU FOTA任务；</t>
  </si>
  <si>
    <t>1.FOTA进行到下载中；
2.TCAM 收到 BGM DDS：UpdateProgressCtrl（TerminateUpdate），TCAM 不能删除软件包或删除失败；</t>
  </si>
  <si>
    <t>2.TCAM 回复DDS：UpdateProgressCtrl（NACK，Error Code），Error Code 为 0x00 0x50</t>
  </si>
  <si>
    <t>Unassigned</t>
  </si>
  <si>
    <t>DPMS-17112</t>
  </si>
  <si>
    <t>FOTA任务取消_002</t>
  </si>
  <si>
    <t>FOTA任务取消异常机制_取消任务时状态切换失败</t>
  </si>
  <si>
    <t>1.FOTA进行到下载中；
2.TCAM 收到 BGM DDS：UpdateProgressCtrl（TerminateUpdate），TCAM 因特殊处理无法取消任务；</t>
  </si>
  <si>
    <t>2.TCAM 回复DDS：UpdateProgressCtrl（NACK，Error Code），Error Code 为 0x00 0x51</t>
  </si>
  <si>
    <t>FOTA任务取消_003</t>
  </si>
  <si>
    <t>FOTA任务取消异常机制_因特殊处理无法取消任务</t>
  </si>
  <si>
    <t>2.TCAM 回复DDS：UpdateProgressCtrl（NACK，Error Code），Error Code 为 0x00 0x52</t>
  </si>
  <si>
    <t>FOTA状态&amp;任务同步异常机制_001</t>
  </si>
  <si>
    <t xml:space="preserve">FOTA状态&amp;任务同步异常机制_车辆任务校验_车辆当前FOTA STATUS非IDLE	</t>
  </si>
  <si>
    <t>1.FOTA进行车辆校验任务详情；
2.车辆当前FOTA STATUS非IDLE；</t>
  </si>
  <si>
    <t>2.TCAM 报错给 BGM</t>
  </si>
  <si>
    <t>DPMS-16646</t>
  </si>
  <si>
    <t>FOTA状态&amp;任务同步异常机制_002</t>
  </si>
  <si>
    <t>FOTA状态&amp;任务同步异常机制_车辆任务校验_平台下发的TASK ID与车端记录的不一致</t>
  </si>
  <si>
    <t>1.FOTA进行车辆校验任务详情；
2.平台下发的TASK ID与车端记录的不一致；</t>
  </si>
  <si>
    <t>2.TCAM 报错给 BGM; BGM FOTA STATUS回到IDLE;</t>
  </si>
  <si>
    <t>FOTA状态&amp;任务同步异常机制_003</t>
  </si>
  <si>
    <t xml:space="preserve">FOTA状态&amp;任务同步异常机制_车辆任务校验_任务详情完整性校验失败		</t>
  </si>
  <si>
    <t>1.FOTA进行车辆校验任务详情；
2.任务详情完整性校验失败；</t>
  </si>
  <si>
    <t>FOTA状态&amp;任务同步异常机制_004</t>
  </si>
  <si>
    <t xml:space="preserve">FOTA状态&amp;任务同步异常机制_车辆任务校验_云端下发的任务信息中此次无ECU升级	</t>
  </si>
  <si>
    <t>1.FOTA进行车辆校验任务详情；
2.云端下发的任务信息中此次无BGM ECU升级；</t>
  </si>
  <si>
    <t>FOTA下载断点续传_001</t>
  </si>
  <si>
    <t>FOTA下载断点续传_网络异常</t>
  </si>
  <si>
    <t>1.FOTA进行到下载；
2.断网1min，后恢复网络；</t>
  </si>
  <si>
    <t>2.TCAM监控网络，恢复网络后继续下载;</t>
  </si>
  <si>
    <t>DPMS-16642</t>
  </si>
  <si>
    <t>FOTA下载断点续传_002</t>
  </si>
  <si>
    <t>FOTA下载断点续传_断点续传失败</t>
  </si>
  <si>
    <t>1.FOTA进行到下载；
2.断网1min，后恢复网络，依旧下载失败；</t>
  </si>
  <si>
    <t>2.TCAM将下载失败消息传给BGM，BGM任务终止，回复平台任务失败；
BGM通知各域控停止并删除已下载软件包，TCAM 停止并删除已下载软件包；</t>
  </si>
  <si>
    <t>FOTA下载断点续传_003</t>
  </si>
  <si>
    <t>FOTA下载断点续传_重启</t>
  </si>
  <si>
    <t>1.FOTA进行到下载；
2.BGM重启或程序异常；</t>
  </si>
  <si>
    <t>2.TCAM 重启后持续监控网络，恢复后继续下载;</t>
  </si>
  <si>
    <t>FOTA升级支持回滚_001</t>
  </si>
  <si>
    <t>FOTA升级支持回滚_升级中出现异常</t>
  </si>
  <si>
    <t>1.FOTA进行到升级；
2.升级中出现异常；</t>
  </si>
  <si>
    <t>2.TCAM反馈失败状态及Error Code至BGM；BGM刷写完此分组后对此分组进行回滚重试；</t>
  </si>
  <si>
    <t>DPMS-16634</t>
  </si>
  <si>
    <t>FOTA升级支持回滚_002</t>
  </si>
  <si>
    <t>FOTA升级支持回滚_升级中出现异常_回滚成功</t>
  </si>
  <si>
    <t>1.FOTA进行到升级；
2.升级中出现异常，回滚成功；</t>
  </si>
  <si>
    <t>2.TCAM反馈BGM回滚成功，BGM 改变FOTA 状态此次升级失败但可开车；上传状态给平台；</t>
  </si>
  <si>
    <t>FOTA升级支持回滚_003</t>
  </si>
  <si>
    <t>FOTA升级支持回滚_升级中出现异常_回滚失败</t>
  </si>
  <si>
    <t>1.FOTA进行到升级；
2.升级中出现异常，回滚失败；</t>
  </si>
  <si>
    <t>2.TCAM反馈BGM回滚失败；BGM判断此次升级失败，做不可开车处理；上传状态给平台；</t>
  </si>
  <si>
    <t>ECU软件密文包后缀名变更_001</t>
  </si>
  <si>
    <t>ECU软件密文包后缀名变更_vbf_to_bin</t>
  </si>
  <si>
    <t>1.正常测试 TCAM bin包 fota升级；</t>
  </si>
  <si>
    <t>1.FOTA升级成功</t>
  </si>
  <si>
    <t>DPMS-16413</t>
  </si>
  <si>
    <t>v0.5.0</t>
  </si>
  <si>
    <t>FOTA任务取消常规机制_001</t>
  </si>
  <si>
    <t>FOTA任务取消常规机制_平台取消_检测成功</t>
  </si>
  <si>
    <t>1.云端 检测成功 状态，点击平台取消fota；</t>
  </si>
  <si>
    <t>1.BGM接收平台下发的取消指令之后判断当前任务状态，BGM通知自升级模块和其他三大域控删除已下载软件包后切回Idle状态，BGM整体监控并上报结果；TCAM若有下载包，删除已下载软件包，fota 状态切回 Idle状态;</t>
  </si>
  <si>
    <t>DPMS-11876</t>
  </si>
  <si>
    <t>FOTA任务取消常规机制_002</t>
  </si>
  <si>
    <t>FOTA任务取消常规机制_平台取消_下载中</t>
  </si>
  <si>
    <t>1.云端 下载中 状态，点击平台取消fota；</t>
  </si>
  <si>
    <t>FOTA任务取消常规机制_003</t>
  </si>
  <si>
    <t>1.云端 下载完成 状态，点击平台取消fota；</t>
  </si>
  <si>
    <t>FOTA任务取消常规机制_004</t>
  </si>
  <si>
    <t>FOTA任务取消常规机制_平台取消_预约中</t>
  </si>
  <si>
    <t>1.云端 预约中 状态，点击平台取消fota；</t>
  </si>
  <si>
    <t>FOTA任务取消常规机制_005</t>
  </si>
  <si>
    <t>FOTA任务取消常规机制_诊断取消_QUERY</t>
  </si>
  <si>
    <t>1.云端 QUERY 状态，点击平台取消fota；</t>
  </si>
  <si>
    <t>FOTA任务取消常规机制_006</t>
  </si>
  <si>
    <t>FOTA任务取消常规机制_诊断取消_NEW_TASK</t>
  </si>
  <si>
    <t>1.云端 NEW_TASK 状态，点击平台取消fota；</t>
  </si>
  <si>
    <t>FOTA任务取消常规机制_007</t>
  </si>
  <si>
    <t>FOTA任务取消常规机制_诊断取消_DOWNLOADING</t>
  </si>
  <si>
    <t>1.云端 DOWNLOADING 状态，点击平台取消fota；</t>
  </si>
  <si>
    <t>FOTA任务取消常规机制_008</t>
  </si>
  <si>
    <t>FOTA任务取消常规机制_诊断取消_ACTIVE</t>
  </si>
  <si>
    <t>1.云端 ACTIVE 状态，点击平台取消fota；</t>
  </si>
  <si>
    <t>FOTA任务取消常规机制_009</t>
  </si>
  <si>
    <t>FOTA任务取消常规机制_诊断取消_UPDATE</t>
  </si>
  <si>
    <t>1.云端 UPDATE 状态，点击平台取消fota；</t>
  </si>
  <si>
    <t>FOTA任务取消常规机制_010</t>
  </si>
  <si>
    <t>FOTA任务取消常规机制_诊断取消_ROLLBACK</t>
  </si>
  <si>
    <t>1.云端 ROLLBACK 状态，点击平台取消fota；</t>
  </si>
  <si>
    <t>FOTA任务取消常规机制_011</t>
  </si>
  <si>
    <t>FOTA任务取消常规机制_诊断取消_FAILED_NOT_DRIVING</t>
  </si>
  <si>
    <t>1.云端 FAILED_NOT_DRIVING 状态，点击平台取消fota；</t>
  </si>
  <si>
    <t>FOTA任务取消常规机制_012</t>
  </si>
  <si>
    <t>FOTA任务取消常规机制_诊断取消_FAILED_DRIVING</t>
  </si>
  <si>
    <t>1.云端 FAILED_DRIVING 状态，点击平台取消fota；</t>
  </si>
  <si>
    <t>FOTA安全机制_001</t>
  </si>
  <si>
    <t>FOTA安全机制_FOTA通道安全</t>
  </si>
  <si>
    <t>1.正常进行fota；</t>
  </si>
  <si>
    <t>1.FOTA通讯链路需要基于双向Https安全验证；</t>
  </si>
  <si>
    <t>DPMS-11337</t>
  </si>
  <si>
    <t>FOTA安全机制_002</t>
  </si>
  <si>
    <t>FOTA安全机制_FOTA数据安全</t>
  </si>
  <si>
    <t>1.TCAM中需要存储设备证书和公钥(per vehicle)，软件包下载和安装前需要进行签名校验</t>
  </si>
  <si>
    <t>FOTA升级过程整车能力要求_001</t>
  </si>
  <si>
    <t>FOTA升级过程整车能力要求_上网</t>
  </si>
  <si>
    <t>1.需要保证APN1通道能力可用，以满足FOTA全过程中的信号上报和其他指令；其他通道能力也需要可用</t>
  </si>
  <si>
    <t>DPMS-11327</t>
  </si>
  <si>
    <t>FOTA升级最终确认和条件校验_001</t>
  </si>
  <si>
    <t>FOTA升级最终确认和条件校验_车辆在线</t>
  </si>
  <si>
    <t>1.正常进行fota，用户触发立即升级（APP端）；</t>
  </si>
  <si>
    <t>1.车辆需要在线，BGM成功接收升级指令（for App触发）</t>
  </si>
  <si>
    <t>DPMS-11325</t>
  </si>
  <si>
    <t>FOTA升级最终确认和条件校验_002</t>
  </si>
  <si>
    <t>FOTA升级最终确认和条件校验_车辆不在线</t>
  </si>
  <si>
    <t>1.正常进行fota，用户触发立即升级（车端），车辆在云端不在线；</t>
  </si>
  <si>
    <t>1.FOTA可以继续往后走下去</t>
  </si>
  <si>
    <t>FOTA升级提醒_001</t>
  </si>
  <si>
    <t>FOTA升级提醒_网络正常</t>
  </si>
  <si>
    <t>1.正常进行fota</t>
  </si>
  <si>
    <t>1.TCAM需要一直有网络，与云端连接在线，可以收到FOTA Task info；</t>
  </si>
  <si>
    <t>DPMS-11321</t>
  </si>
  <si>
    <t>FOTA升级结果显示_001</t>
  </si>
  <si>
    <t>FOTA升级结果显示_网络正常</t>
  </si>
  <si>
    <t>1.TCAM需要一直有网络，与云端连接在线，正常将升级结果上传给云端；</t>
  </si>
  <si>
    <t>DPMS-11315</t>
  </si>
  <si>
    <t>软件版本校验和比对_001</t>
  </si>
  <si>
    <t>软件版本校验和比对</t>
  </si>
  <si>
    <t>1.TCAM需要一直有网络，与云端连接在线，正常将收集软硬件信息同步到云端；</t>
  </si>
  <si>
    <t>DPMS-11307</t>
  </si>
  <si>
    <t>FOTA状态和任务同步常规机制_001</t>
  </si>
  <si>
    <t>FOTA状态和任务同步常规机制_车端主动请求</t>
  </si>
  <si>
    <t>1.TCAM需要一直有网络，与云端连接在线，正常请求云端fota Task id；</t>
  </si>
  <si>
    <t>DPMS-7441</t>
  </si>
  <si>
    <t>FOTA状态和任务同步常规机制_002</t>
  </si>
  <si>
    <t>FOTA状态和任务同步常规机制_云端主动推送</t>
  </si>
  <si>
    <t>1.TCAM需要一直有网络，与云端连接在线，正常收到云端主动推送的fota Task id；</t>
  </si>
  <si>
    <t>FOTA状态和任务同步常规机制_003</t>
  </si>
  <si>
    <t>FOTA状态和任务同步常规机制_休眠唤醒</t>
  </si>
  <si>
    <t>1.Carmode 为 非factory；
2.移动网络连接正常；</t>
  </si>
  <si>
    <t>1.云端建立 TCAM ECU FOTA任务；</t>
  </si>
  <si>
    <t>1.TCAM休眠状态下应至少具备被短信唤醒的能力。TCAM唤醒后应立即连接后台，TCAM收到云端Push的comand应能通过网络管理报文唤醒整车；TCAM收到MQTT接口OTA Command Publish服务应协议转换成SOA：OTA Command Publish至BGM</t>
  </si>
  <si>
    <t>FOTA状态栏和软件详情页_001</t>
  </si>
  <si>
    <t>FOTA状态栏和软件详情页</t>
  </si>
  <si>
    <t>1.TCAM 网络正常，与BGM服务连接正常；将fota 状态同步到云端；可以从云端成功获取到task info</t>
  </si>
  <si>
    <t>DPMS-6587</t>
  </si>
  <si>
    <t>FOTA软件升级_001</t>
  </si>
  <si>
    <t>FOTA软件升级</t>
  </si>
  <si>
    <t>1.TCAM 升级成功，上报平台也成功；</t>
  </si>
  <si>
    <t>DPMS-6571</t>
  </si>
  <si>
    <t>FOTA软件包下载常规机制_001</t>
  </si>
  <si>
    <t>FOTA软件包下载常规机制</t>
  </si>
  <si>
    <t>1.TCAM 接收任务之后，也需要进行前置校验才可正式进入下载；</t>
  </si>
  <si>
    <t>DPMS-6302</t>
  </si>
  <si>
    <t>FOTA立即升级_001</t>
  </si>
  <si>
    <t>FOTA立即升级</t>
  </si>
  <si>
    <t>1.TCAM 收到BGM 升级通知后，进入升级模式开始升级；</t>
  </si>
  <si>
    <t>DPMS-6298</t>
  </si>
  <si>
    <t>取消升级_001</t>
  </si>
  <si>
    <t>诊断取消FOTA_QUERY状态</t>
  </si>
  <si>
    <t>1.fota 状态为 Status 1 (QUERY)
2.诊断发出[0x31, 0x01, 0xA1, 0x02]，取消fota</t>
  </si>
  <si>
    <t>2.TCAM取消正在执行中的FOTA任务；OTA Master状态机回到初始Idle状态</t>
  </si>
  <si>
    <t>取消升级_002</t>
  </si>
  <si>
    <t>诊断取消FOTA_NEW_TASK状态</t>
  </si>
  <si>
    <t>1.fota 状态为 Status 2 (NEW_TASK)
2.诊断发出[0x31, 0x01, 0xA1, 0x02]，取消fota</t>
  </si>
  <si>
    <t>取消升级_003</t>
  </si>
  <si>
    <t>诊断取消FOTA_DOWNLOADING状态</t>
  </si>
  <si>
    <t>1.fota 状态为 Status 3 (DOWNLOADING)
2.诊断发出[0x31, 0x01, 0xA1, 0x02]，取消fota</t>
  </si>
  <si>
    <t>2.TCAM取消正在执行中的FOTA任务；OTA Master状态机回到初始Idle状态；TCAM删除所有下载的Initial Package和软件升级包</t>
  </si>
  <si>
    <t>取消升级_004</t>
  </si>
  <si>
    <t>诊断取消FOTA_ACTIVE状态</t>
  </si>
  <si>
    <t>1.fota 状态为 Status 4 (ACTIVE)
2.诊断发出[0x31, 0x01, 0xA1, 0x02]，取消fota</t>
  </si>
  <si>
    <t>取消升级_005</t>
  </si>
  <si>
    <t>诊断取消FOTA_UPDATE状态</t>
  </si>
  <si>
    <t>1.fota 状态为 Status 5 (UPDATE)
2.诊断发出[0x31, 0x01, 0xA1, 0x02]，取消fota</t>
  </si>
  <si>
    <t>取消升级_006</t>
  </si>
  <si>
    <t>诊断取消FOTA_ROLLBACK状态</t>
  </si>
  <si>
    <t>1.fota 状态为 Status 6 (ROLLBACK)
2.诊断发出[0x31, 0x01, 0xA1, 0x02]，取消fota</t>
  </si>
  <si>
    <t>取消升级_007</t>
  </si>
  <si>
    <t>诊断取消FOTA_FAILED_NOT_DRIVING状态</t>
  </si>
  <si>
    <t>1.fota 状态为 Status 7 (FAILED_NOT_DRIVING)
2.诊断发出[0x31, 0x01, 0xA1, 0x02]，取消fota</t>
  </si>
  <si>
    <t>2.BGM取消正在执行中的FOTA任务；OTA Master状态机回到初始Idle状态；BGM删除所有下载的Initial Package和软件升级包；如果有域控升级任务（订阅的域控DDS：FotaStatus处于Ready to install system/Installing system/Rolling Back/Update Finish/System inactive)，BGM应发送DDS：UpdateProgressCtrl(Comand),其中参数Comand为 TerminateUpdate，至对应有升级任务的域控，用于取消域控的升级任务。</t>
  </si>
  <si>
    <t>取消升级_008</t>
  </si>
  <si>
    <t>诊断取消FOTA_FAILED_DRIVING状态</t>
  </si>
  <si>
    <t>1.fota 状态为 Status 8 (FAILED_DRIVING)
2.诊断发出[0x31, 0x01, 0xA1, 0x02]，取消fota</t>
  </si>
  <si>
    <t>2.TCAM取消正在执行中的FOTA任务；OTA Master状态机回到初始Idle状态；TCAM删除所有下载的Initial Package和软件升级包；如果有域控升级任务（订阅的域控DDS：FotaStatus处于Ready to install system/Installing system/Rolling Back/Update Finish/System inactive)，BGM应发送DDS：UpdateProgressCtrl(Comand),其中参数Comand为 TerminateUpdate，至对应有升级任务的域控，用于取消域控的升级任务。</t>
  </si>
  <si>
    <t>取消升级_009</t>
  </si>
  <si>
    <t>云端FOTA Cancel_预约中</t>
  </si>
  <si>
    <t>1.fota 状态为 预约中
2.云端取消fota</t>
  </si>
  <si>
    <t>2.TCAM取消预约中的FOTA任务;OTA Master状态机回到初始Idle状态</t>
  </si>
  <si>
    <t>取消升级_010</t>
  </si>
  <si>
    <t>云端FOTA Cancel_NEW_TASK状态</t>
  </si>
  <si>
    <t>1.fota 状态为 Status 2 (NEW_TASK)
2.云端取消fota</t>
  </si>
  <si>
    <t>取消升级_011</t>
  </si>
  <si>
    <t>云端FOTA Cancel_DOWNLOADING状态_下载中</t>
  </si>
  <si>
    <t>1.fota 状态为 Status 3 (DOWNLOADING)
2.云端状态为下载中
3.云端取消fota</t>
  </si>
  <si>
    <t>3.TCAM取消正在执行中的FOTA任务；OTA Master状态机回到初始Idle状态；TCAM删除所有下载的Initial Package和软件升级包</t>
  </si>
  <si>
    <t>取消升级_012</t>
  </si>
  <si>
    <t>云端FOTA Cancel_DOWNLOADING状态_下载成功</t>
  </si>
  <si>
    <t>1.fota 状态为 Status 3 (DOWNLOADING)
2.云端状态为下载成功
3.云端取消fota</t>
  </si>
  <si>
    <t>取消升级_013</t>
  </si>
  <si>
    <t>诊断取消FOTA_UA_Downloading状态1</t>
  </si>
  <si>
    <t>1.UA 状态为Downloading
2.诊断发出[0x31, 0x01, 0xA1, 0x02]，取消fota
3.域控回复肯定响应</t>
  </si>
  <si>
    <t>3.TCAM退出当前正在执行任务，删除当前FOTA任务，OTA Master状态机回到初始状态(Idle)，删除initial Package和软件包;BGM应发送SOA：DownloadCtrl(TerminateDownloading)</t>
  </si>
  <si>
    <t>取消升级_014</t>
  </si>
  <si>
    <t>诊断取消FOTA_UA_Downloading状态2</t>
  </si>
  <si>
    <t>1.UA 状态为Downloading
2.诊断发出[0x31, 0x01, 0xA1, 0x02]，取消fota
3.域控回复否定响应，BGM应等待1min后继续发送SOA：DownloadCtrl(TerminateDownloading)，不超过10次接收到肯定响应</t>
  </si>
  <si>
    <t>取消升级_015</t>
  </si>
  <si>
    <t>诊断取消FOTA_UA_Downloading状态3</t>
  </si>
  <si>
    <t>1.UA 状态为Downloading
2.诊断发出[0x31, 0x01, 0xA1, 0x02]，取消fota
3.域控回复否定响应，BGM应等待1min后继续发送SOA：DownloadCtrl(TerminateDownloading)，超过10次均失败</t>
  </si>
  <si>
    <t>3.TCAM判定本次取消失败</t>
  </si>
  <si>
    <t>取消升级_016</t>
  </si>
  <si>
    <t>诊断取消FOTA_UA_非Downloading状态1</t>
  </si>
  <si>
    <t>1.UA 状态为Ready to install system/Installing system/Rolling Back/Update Finish/System inactive/Activing
2.诊断发出[0x31, 0x01, 0xA1, 0x02]，取消fota
3.域控回复肯定响应</t>
  </si>
  <si>
    <t>3.TCAM退出当前正在执行任务，删除当前FOTA任务，OTA Master状态机回到初始状态(Idle)，删除initial Package和软件包;BGM应发送SOA：DownloadCtrl((TerminateUpdate)</t>
  </si>
  <si>
    <t>取消升级_017</t>
  </si>
  <si>
    <t>诊断取消FOTA_UA_非Downloading状态2</t>
  </si>
  <si>
    <t>1.UA 状态为Ready to install system/Installing system/Rolling Back/Update Finish/System inactive/Activing
2.诊断发出[0x31, 0x01, 0xA1, 0x02]，取消fota
3.域控回复否定响应，BGM应等待1min后继续发送SOA：DownloadCtrl((TerminateUpdate)，不超过10次接收到肯定响应</t>
  </si>
  <si>
    <t>取消升级_018</t>
  </si>
  <si>
    <t>诊断取消FOTA_UA_非Downloading状态3</t>
  </si>
  <si>
    <t>1.UA 状态为Downloading
2.诊断发出[0x31, 0x01, 0xA1, 0x02]，取消fota
3.域控回复否定响应，BGM应等待1min后继续发送SOA：DownloadCtrl((TerminateUpdate)，超过10次均失败</t>
  </si>
  <si>
    <t>取消升级_019</t>
  </si>
  <si>
    <t>云端取消FOTA_UA_Downloading状态1</t>
  </si>
  <si>
    <t>1.UA 状态为Downloading
2.云端取消fota
3.域控回复肯定响应</t>
  </si>
  <si>
    <t>取消升级_020</t>
  </si>
  <si>
    <t>云端取消FOTA_UA_Downloading状态2</t>
  </si>
  <si>
    <t>1.UA 状态为Downloading
2.云端取消fota
3.域控回复否定响应，BGM应等待1min后继续发送SOA：DownloadCtrl(TerminateDownloading)，不超过10次接收到肯定响应</t>
  </si>
  <si>
    <t>取消升级_021</t>
  </si>
  <si>
    <t>云端取消FOTA_UA_Downloading状态3</t>
  </si>
  <si>
    <t>1.UA 状态为Downloading
2.云端取消fota
3.域控回复否定响应，BGM应等待1min后继续发送SOA：DownloadCtrl(TerminateDownloading)，超过10次均失败</t>
  </si>
  <si>
    <t>取消升级_022</t>
  </si>
  <si>
    <t>取消FOTA_域控回到idle</t>
  </si>
  <si>
    <t>1.OTA Master处于Update状态
2.诊断取消fota
3.域控全回到idle状态</t>
  </si>
  <si>
    <t>3.发送【UDS 31 A1 00 02】Fota Mode OFF至BGM MCU/CDC/ACU/TCAM;发送【UDS 31 01 42 89 00】 至ECM3退出OTA SWDL;BGM MPU应发送【UDS：10 03】至BGM MCU，请求进入扩展会话。
BGM MPU收到肯定响应后，发送【UDS：27 05 】request Seed 至BGM MCU
BGM MPU收到肯定响应后，计算key，BGM发送【UDS：27 06 key】至BGM MCU
BGM MPU收到肯定响应后，发送【UDS：0x2E 0xF1 0x53 0x00】将BGM MCU 的DID F153置为0x0，表示不处于升级状态;不应继续维持车辆唤醒，不继续发送【UDS 3E 81】，不维持整车唤醒（不发送VFC）</t>
  </si>
  <si>
    <t>取消升级_023</t>
  </si>
  <si>
    <t>诊断取消_域控接收到DDS：UpdateProgressCtrl_可以删除</t>
  </si>
  <si>
    <t>1.UA处于Ready to install system/Installing system/Rolling Back/Update Finish/System inactive/Activing状态
2.诊断取消fota
3.域控接收到BGM发出的DDS：UpdateProgressCtrl（TerminateUpdate）
4.域控可以执行删除任务</t>
  </si>
  <si>
    <t xml:space="preserve">4.TCAM删除存储的软件包;内部FOTA状态机回到Idle;终止当前升级任务
</t>
  </si>
  <si>
    <t>取消升级_024</t>
  </si>
  <si>
    <t>诊断取消_域控接收到DDS：UpdateProgressCtrl_无法删除</t>
  </si>
  <si>
    <t>1.UA处于Ready to install system/Installing system/Rolling Back/Update Finish/System inactive/Activing状态
2.诊断取消fota
3.域控接收到BGM发出的DDS：UpdateProgressCtrl（TerminateUpdate）
4.域控无法执行删除任务</t>
  </si>
  <si>
    <t>4.BGM应回复DDS：UpdateProgressCtrl（NACK，Error Code）</t>
  </si>
  <si>
    <t>取消升级_025</t>
  </si>
  <si>
    <t>诊断取消_域控接收到DDS：DownloadCtrl_可以删除</t>
  </si>
  <si>
    <t>1.UA处于Downloading状态
2.诊断取消fota
3.域控接收到BGM发出的DDS：DownloadCtrl（TerminateDownloading）
4.域控可以执行删除任务</t>
  </si>
  <si>
    <t>取消升级_026</t>
  </si>
  <si>
    <t>诊断取消_域控接收到DDS：DownloadCtrl_无法删除</t>
  </si>
  <si>
    <t>1.UA处于Downloading状态
2.诊断取消fota
3.域控接收到BGM发出的DDS：DownloadCtrl（TerminateDownloading）
4.域控无法执行删除任务</t>
  </si>
  <si>
    <t>4.BGM应回复DDS：DownloadCtrl（NACK，Error Code）</t>
  </si>
  <si>
    <t>取消升级_027</t>
  </si>
  <si>
    <t>云端取消_域控接收到DDS：UpdateProgressCtrl_可以删除</t>
  </si>
  <si>
    <t>1.UA处于Ready to install system/Installing system/Rolling Back/Update Finish/System inactive/Activing状态
2.云端取消fota
3.域控接收到BGM发出的DDS：UpdateProgressCtrl（TerminateUpdate）
4.域控可以执行删除任务</t>
  </si>
  <si>
    <t>取消升级_028</t>
  </si>
  <si>
    <t>云端取消_域控接收到DDS：UpdateProgressCtrl_无法删除</t>
  </si>
  <si>
    <t>1.UA处于Ready to install system/Installing system/Rolling Back/Update Finish/System inactive/Activing状态
2.云端取消fota
3.域控接收到BGM发出的DDS：UpdateProgressCtrl（TerminateUpdate）
4.域控无法执行删除任务</t>
  </si>
  <si>
    <t>取消升级_029</t>
  </si>
  <si>
    <t>云端取消_域控接收到DDS：DownloadCtrl_可以删除</t>
  </si>
  <si>
    <t>1.UA处于Downloading状态
2.云端取消fota
3.域控接收到BGM发出的DDS：DownloadCtrl（TerminateDownloading）
4.域控可以执行删除任务</t>
  </si>
  <si>
    <t>取消升级_030</t>
  </si>
  <si>
    <t>云端取消_域控接收到DDS：DownloadCtrl_无法删除</t>
  </si>
  <si>
    <t>1.UA处于Downloading状态
2.云端取消fota
3.域控接收到BGM发出的DDS：DownloadCtrl（TerminateDownloading）
4.域控无法执行删除任务</t>
  </si>
  <si>
    <t>安装异常_001</t>
  </si>
  <si>
    <t>解析软件包1</t>
  </si>
  <si>
    <t xml:space="preserve">1.TCAM接收到UpdateProgressCtrl(Command=StartUpdate)
2.TCAM切换状态至installing，发送DDS： FOTA Status（installing system）至BGM
3.TCAM在解析软件包时出现错误
</t>
  </si>
  <si>
    <t>3.TCAM尝试重新升级至多2次</t>
  </si>
  <si>
    <t>安装异常_002</t>
  </si>
  <si>
    <t>解析软件包2</t>
  </si>
  <si>
    <t>1.TCAM接收到UpdateProgressCtrl(Command=StartUpdate)
2.TCAM切换状态至installing，发送DDS： FOTA Status（installing system）至BGM
3.TCAM在解析软件包时出现错误
4.TCAM尝试重新升级2次失败</t>
  </si>
  <si>
    <t>4.TCAM应发送DDS:UpdateProgressCtrl (CommandResponse=NACK，error code)至BGM,Error Code可为文件格式错误，验签错误等。此时模块应终止升级，释放升级所有的软硬件资源</t>
  </si>
  <si>
    <t>安装异常_003</t>
  </si>
  <si>
    <t>解析软件包3</t>
  </si>
  <si>
    <t>1.TCAM接收到UpdateProgressCtrl(Command=StartUpdate)
2.TCAM切换状态至installing，发送DDS： FOTA Status（installing system）至BGM
3.TCAM在解析软件包时出现错误
4.TCAM尝试重新升级2次内成功</t>
  </si>
  <si>
    <t>4.TCAM回复UpdateProgressCtrl （CommandResponse=ACK，Error Code=None），模块自主开始执行自更新</t>
  </si>
  <si>
    <t>安装异常_004</t>
  </si>
  <si>
    <t>升级过程超时1</t>
  </si>
  <si>
    <t>1.TCAM在自升级过程中
2.内部子模块长时间未反馈</t>
  </si>
  <si>
    <t>2.TCAM应具备超时退出升级过程的能力，退出后应反馈UpdateProgressStatus（UpdateFileSize，Status=XXXX，Error Code=0x0027），其中XXXX应根据第几次失败反馈FirstFailed或者FailedTwice</t>
  </si>
  <si>
    <t>安装异常_005</t>
  </si>
  <si>
    <t>升级过程超时2</t>
  </si>
  <si>
    <t>1.TCAM在自升级过程中
2.出现升级失败</t>
  </si>
  <si>
    <t>2.TCAM应发布UpdateProgressStatus(UpdateFileSize，Status=FirstFailed，ErrorCode=XXX);重新尝试升级1次</t>
  </si>
  <si>
    <t>安装异常_006</t>
  </si>
  <si>
    <t>升级过程超时3</t>
  </si>
  <si>
    <t>1.TCAM在自升级过程中
2.出现升级失败
3.重新尝试升级1次失败</t>
  </si>
  <si>
    <t>3.TCAM应终止此次升级任务。此时模块应发布 UpdateProgressStatus(UpdateFileSize，Status= FailedTwice，ErrorCode=XXX)。模块应释放升级过程中所有软硬件资源，模块自升级状态从"installing the system"至"ready to install system"。</t>
  </si>
  <si>
    <t>安装异常_007</t>
  </si>
  <si>
    <t>域控升级完整性1</t>
  </si>
  <si>
    <t>1.TCAM模块完成自升级（SOC+MCU）
2.TCAM应自主执行升级完整性校验失败</t>
  </si>
  <si>
    <t>3.TCAM应可尝试重新校验1次</t>
  </si>
  <si>
    <t>安装异常_008</t>
  </si>
  <si>
    <t>域控升级完整性2</t>
  </si>
  <si>
    <t>1.TCAM模块完成自升级（SOC+MCU）
2.TCAM应自主执行升级完整性校验失败
3.TCAM应可尝试重新校验1次失败</t>
  </si>
  <si>
    <t>3.TCAM应反馈 UpdateProgressStatus(UpdateFileSize，FailedTwice，PartitionCheckError)至BGM，模块完成升级区域校验后，模块应发布UpdateProgressStatus(UpdateFileSize（总文件大小），Status=UpdateComplete，ErrorCode=None)。模块此时不应配置切换系统参数或者重启，等待BGM指令。模块自升级完成后，内部记录当前更新状态，模块自升级状态从"installing the system"切换至"Update finish"并通过DDS：FOTAstatus发布</t>
  </si>
  <si>
    <t>安装异常_009</t>
  </si>
  <si>
    <t>重启失败1</t>
  </si>
  <si>
    <t>1.TCAM模块接收到UpdateProgressCtrl（Command=SetStartupParameter）服务
2.模块应进入Activating状态
3.新系统启动失败</t>
  </si>
  <si>
    <t>3.TCAM应重试2次</t>
  </si>
  <si>
    <t>安装异常_010</t>
  </si>
  <si>
    <t>重启失败2</t>
  </si>
  <si>
    <t>1.TCAM模块接收到UpdateProgressCtrl（Command=SetStartupParameter）服务
2.模块应进入Activating状态
3.新系统启动失败
4.TCAM重试2次均失败</t>
  </si>
  <si>
    <t>4.TCAM应启动老系统，自升级状态从"Activating"至"ready to install the system"</t>
  </si>
  <si>
    <t>安装异常_011</t>
  </si>
  <si>
    <t>重启失败3</t>
  </si>
  <si>
    <t>1.TCAM模块接收到UpdateProgressCtrl（Command=SetStartupParameter）服务
2.模块应进入Activating状态
3.新系统启动失败
4.TCAM重试2次内成功</t>
  </si>
  <si>
    <t>4.TCAM块重启后，新系统正常启动后应切换自升级状态从"Activating"至"System Active"</t>
  </si>
  <si>
    <t>Cass_Path</t>
  </si>
  <si>
    <t>互联服务/呼叫服务/Ecall</t>
  </si>
  <si>
    <t>TCAM_Ecall_0001</t>
  </si>
  <si>
    <t>Ecall_Self_test_with_ethnet_communication_error</t>
    <phoneticPr fontId="1" type="noConversion"/>
  </si>
  <si>
    <t>1. TCAM当前工作模式为Enabled
2.硬件连接正常</t>
  </si>
  <si>
    <t>1. 模拟TCAM与CDC以太网断开连接，查看Ecall自检状态
2.等恢复以太网连接，查看Ecall自检状态</t>
  </si>
  <si>
    <t>1. TCAM通过SOA接口发出自检状态[API:NotifyECallStatus].eCallFunctionSts=ECALL_ERROR_MINOR
2. TCAM通过SOA接口发出自检状态[API:NotifyECallStatus].eCallFunctionSts=READY</t>
  </si>
  <si>
    <t>https://jira.jiduauto.com/browse/DPMS-8238</t>
  </si>
  <si>
    <t>V0.6</t>
  </si>
  <si>
    <t>TCAM_Ecall_0002</t>
  </si>
  <si>
    <t>Ecall_Self_test_with_GNSS_Hardware_error</t>
    <phoneticPr fontId="1" type="noConversion"/>
  </si>
  <si>
    <t>1. 模拟GNSS天线短路故障，查看Ecall自检状态
2.恢复GNSS天线连接，查看Ecall自检状态</t>
  </si>
  <si>
    <t>1. TCAM通过SOA接口发出自检状态[API:NotifyECallStatus].eCallFunctionSts=ECALL_ERROR_MINOR</t>
  </si>
  <si>
    <t>TCAM_Ecall_0003</t>
  </si>
  <si>
    <t>Ecall_Self_test_with_SOS_Hardware_error</t>
    <phoneticPr fontId="1" type="noConversion"/>
  </si>
  <si>
    <t>1. 模拟Ecall SOS物理按键断路故障，查看Ecall自检状态
2. 恢复SOS硬线连接，查看Ecall自检状态</t>
  </si>
  <si>
    <t>TCAM_Ecall_0004</t>
  </si>
  <si>
    <t>Ecall_Self_test_with_4G_antena_Hardware_error</t>
  </si>
  <si>
    <t>1. 模拟TCAM 4G天线断路故障，查看Ecall自检状态
2. TCAM 4G天线连接，查看Ecall自检状态</t>
  </si>
  <si>
    <t>TCAM_Ecall_0005</t>
  </si>
  <si>
    <t>Ecall_Self_test_with_SRS_HardLine_error</t>
  </si>
  <si>
    <t>1. 模拟SRS硬线断路故障，且CAN通讯异常，查看Ecall自检状态
2. 恢复SRS硬线连接，查看Ecall自检状态</t>
  </si>
  <si>
    <t>1. TCAM通过SOA接口发出自检状态[API:NotifyECallStatus].eCallFunctionSts=ECALL_ERROR_SEVERE
2. TCAM通过SOA接口发出自检状态[API:NotifyECallStatus].eCallFunctionSts=READY</t>
  </si>
  <si>
    <t>TCAM_Ecall_0006</t>
  </si>
  <si>
    <t>Ecall_Self_test_with_SIM_Failure</t>
  </si>
  <si>
    <t>1. 模拟SIM Failure故障，查看Ecall自检状态
2.恢复SIM故障，查看Ecall自检状态</t>
  </si>
  <si>
    <t>TCAM_Ecall_0007</t>
  </si>
  <si>
    <t>Ecall_Self_test_with_Minor_and_severe_error</t>
  </si>
  <si>
    <t>1. 模拟GNSS天线断路故障
2. 模拟SRS硬线断路故障，查看Ecall自检状态</t>
  </si>
  <si>
    <t>1. TCAM通过SOA接口发出自检状态[API:NotifyECallStatus].eCallFunctionSts=ECALL_ERROR_SEVERE</t>
  </si>
  <si>
    <t>TCAM_Ecall_0008</t>
  </si>
  <si>
    <t>Ecall_Self_test_with_double_error</t>
  </si>
  <si>
    <t>1. 模拟SIM卡故障，模拟SRS硬线断路故障，查看Ecall自检状态
2.恢复所有故障章台，查看Ecall自检状态</t>
  </si>
  <si>
    <t>TCAM_Ecall_0009</t>
  </si>
  <si>
    <t>Ecall_Self_test_with_there_error</t>
  </si>
  <si>
    <t>1.模拟以太网故障，GNSS天线故障，SOS按键断路，查看Ecall自检状态
2.恢复所有故障章台，查看Ecall自检状态</t>
  </si>
  <si>
    <t>1. TCAM通过SOA接口发出自检状态[API:NotifyECallStatus].eCallFunctionSts=ECALL_ERROR_MINER
2. TCAM通过SOA接口发出自检状态[API:NotifyECallStatus].eCallFunctionSts=READY</t>
  </si>
  <si>
    <t>TCAM_Ecall_0010</t>
  </si>
  <si>
    <t>Ecall_Self_test_with_All_error</t>
  </si>
  <si>
    <t>1.模拟以太网故障，GNSS天线故障，SOS按键断路，SRS硬线断路故障，SIM卡故障查看Ecall自检状态
2.恢复所有故障章台，查看Ecall自检状态</t>
  </si>
  <si>
    <t>TCAM_Ecall_0011</t>
  </si>
  <si>
    <t>Ecall_Self_test_without_error</t>
  </si>
  <si>
    <t>1. TCAM正常上电</t>
  </si>
  <si>
    <t>1.设置CAN信号CarMode为CarModNorm
2.切换CAN信号UsageMode从UsgModInActv到UsgModCnvinc</t>
  </si>
  <si>
    <t>1. TCAM通过SOA接口发出自检状态[API:NotifyECallStatus].eCallFunctionSts= IN_SELF_TEST</t>
  </si>
  <si>
    <t>TCAM_Ecall_0012</t>
  </si>
  <si>
    <t>Ecall_send_call_status_activecall_SOS_success</t>
  </si>
  <si>
    <t>1. TCAM当前工作模式为Standby</t>
  </si>
  <si>
    <t>1.通过SOA Partner连接TCAM
2.通过SOS 按钮触发Ecall
3.被叫方接通电话
4.等待30秒被叫方挂断通话</t>
  </si>
  <si>
    <t>1.Step 2, TCAM通过接口[API:NotifyECallStatus]以200ms为周期发送通话状态，step 1, callType=1(Active主动通话)，)callSts=6(WAIT_FOR_CONFIRM倒计时等待确认中)，等待7.5s后，callSts=1(DIALING正在拨号)
2. Step 3, callType=1(Active主动通话)，callSts=3(VOICE_CONVERSATION通话已接通状态)
3. Step 4, callType=1(Active主动通话)，callSts=5(HANG_UP已挂断)</t>
  </si>
  <si>
    <t>TCAM_Ecall_0013</t>
  </si>
  <si>
    <t>Ecall_send_call_status_activecall_CDC_success</t>
  </si>
  <si>
    <t>1.通过SOA Partner连接TCAM
2.通过CDC触发Ecall
3.等待eCallCountTi_TCAM(7.5s)后，TCAM成功发起呼叫</t>
  </si>
  <si>
    <t>1. Step 2, TCAM通过接口[API:NotifyECallStatus]发送callType=1(Active主动呼叫)，callSts=6(WAIT_FOR_CONFIRM倒计时等待确认中)
2. Step 3, callType=1(Active主动呼叫)，callSts=1(DIALING正在拨号）</t>
  </si>
  <si>
    <t>TCAM_Ecall_0014</t>
  </si>
  <si>
    <t>Ecall_send_call_status_hung_up_by_CDC</t>
  </si>
  <si>
    <t>1.通过SOA Partner连接TCAM
2.通过CDC触发Ecall
3.等待eCallCountTi_TCAM(7.5s)后，TCAM成功发起呼叫
4. 通话一段时间后，模拟CDC发送挂断消息[API:SetECallWorkStatus].eCallOperationCmd==HANG_UP_ECALL</t>
  </si>
  <si>
    <t>1. Step 2, TCAM通过接口[API:NotifyECallStatus]发送callType=3(INCOMING电话回拨)，callSts=2(RINGING正在响铃)
2. Step 3, callType=1(Active主动呼叫)，callSts=3(VOICE_CONVERSATION通话已接通状态)
3. Step 4, callType=callType=3(INCOMING电话回拨)，callSts=5(HANG_UP已挂断)</t>
  </si>
  <si>
    <t>TCAM_Ecall_0015</t>
  </si>
  <si>
    <t>Ecall_send_call_status_activecall_SOS_cancel</t>
  </si>
  <si>
    <t>1.通过SOA Partner连接TCAM
2.通过SOS触发Ecall
3.在eCallCountTi_TCAM(7.5s)时间内，再次按压SOS 按钮取消Ecall</t>
  </si>
  <si>
    <t>1. Step 2, TCAM通过接口[API:NotifyECallStatus]发送callType=1(Active主动呼叫)，callSts=6(WAIT_FOR_CONFIRM倒计时等待确认中)
2. Step 3, callType=1(Active主动呼叫)，callSts=0(IDLE已取消/default）</t>
  </si>
  <si>
    <t>TCAM_Ecall_0016</t>
  </si>
  <si>
    <t>Ecall_send_call_status_activecall_CDC_cancel</t>
  </si>
  <si>
    <t>1.通过SOA Partner连接TCAM
2.通过CDC触发Ecall
3.在eCallCountTi_TCAM(7.5s)内取消Ecall</t>
  </si>
  <si>
    <t>TCAM_Ecall_0017</t>
  </si>
  <si>
    <t>Ecall_send_call_status_passivecall_Crash_success</t>
  </si>
  <si>
    <t>1.通过SOA Partner连接TCAM
2.模拟信号CrashStsSafeSts从0(NoCrash)变为1(Crash)来触发Ecall
3.被叫方接通电话
4.等待30秒被叫方挂断通话</t>
  </si>
  <si>
    <t>1. Step 2, TCAM通过接口[API:NotifyECallStatus]发送callType=2(PASSIVE被动通话)，callSts=1(DIALING正在拨号)
2. Step 3, callType=2(PASSIVE被动通话)，callSts=3(VOICE_CONVERSATION通话已接通状态)
3. Step 4, callType=2(PASSIVE被动通话)，callSts=5(HANG_UP已挂断)</t>
  </si>
  <si>
    <t>TCAM_Ecall_0018</t>
  </si>
  <si>
    <t>Ecall_send_call_status_passivecall_ACU_success</t>
  </si>
  <si>
    <t>1.通过SOA Partner连接TCAM
2.模拟ACU触发消息[API:SetECallWorkStatus].eCallOperationCmd == START_ECALL
3.被叫方接通电话
4.等待30秒被叫方挂断通话</t>
  </si>
  <si>
    <t>TCAM_Ecall_0019</t>
  </si>
  <si>
    <t>Ecall_send_call_status_INCOMING</t>
  </si>
  <si>
    <t>1.通过SOA Partner连接TCAM
2.模拟CallCenter回拨到TCAM
3.模拟CDC发送接通指令:[API:SetECallWorkStatus].eCallOperationCmd==PICK_UP_ECALL
4.通话结束等待CallCenter挂断通话</t>
  </si>
  <si>
    <t>1. Step 2, TCAM通过接口[API:NotifyECallStatus]发送callType=3(INCOMING电话回拨)，callSts=2(RINGING正在响铃)
2. Step 3, callType=3(INCOMING电话回拨)，callSts=3(VOICE_CONVERSATION通话已接通状态)
3. Step 4, callType=callType=3(INCOMING电话回拨)，callSts=5(HANG_UP已挂断)</t>
  </si>
  <si>
    <t>TCAM_Ecall_0020</t>
  </si>
  <si>
    <t>Ecall_send_call_status_call_failure_SOS</t>
  </si>
  <si>
    <t>1. TCAM当前工作模式为Standby
2. 设置呼叫号码为无效号码</t>
  </si>
  <si>
    <t>1.通过SOA Partner连接TCAM
2.通过SOS 按钮触发Ecall
3.等待一段时间查看呼叫状态</t>
  </si>
  <si>
    <t>1.Step 2, TCAM通过接口[API:NotifyECallStatus]以200ms为周期发送通话状态，step 1, callType=1(Active主动通话)，callSts=1(DIALING正在拨号)
2. Step 3, callType=1(Active主动通话)，callSts=7(CALL_FAILURE呼叫失败)</t>
  </si>
  <si>
    <t>TCAM_Ecall_0021</t>
  </si>
  <si>
    <t>Ecall_send_call_status_call_failure_CDC</t>
  </si>
  <si>
    <t>1.通过SOA Partner连接TCAM
2.通过CDC触发Ecall
3.等待一段时间查看呼叫状态</t>
  </si>
  <si>
    <t>TCAM_Ecall_0022</t>
  </si>
  <si>
    <t>Ecall_send_call_status_call_failure_Crash</t>
  </si>
  <si>
    <t>1.通过SOA Partner连接TCAM
2.模拟信号CrashStsSafeSts从0(NoCrash)变为1(Crash)来触发Ecall
3.等待一段时间查看呼叫状态</t>
  </si>
  <si>
    <t>1.Step 2, TCAM通过接口[API:NotifyECallStatus]以200ms为周期发送通话状态，step 1, callType=2(Passive被动通话)，callSts=1(DIALING正在拨号)
2. Step 3, callType=1(Active主动通话)，callSts=7(CALL_FAILURE呼叫失败)</t>
  </si>
  <si>
    <t>TCAM_Ecall_0023</t>
  </si>
  <si>
    <t>Ecall_send_call_status_call_failure_ACU</t>
  </si>
  <si>
    <t>Ecall_Active_triggered_by_SOS_button</t>
  </si>
  <si>
    <t>1.通过SOS 按钮按下超过100ms触发Ecall，在7.5s内不进行取消Ecall操作
2.接通后挂断电话</t>
  </si>
  <si>
    <t>1.Step 1, TCAM CAN网络被唤醒并设置CAN信号[Sig:HmiAndAudReq]==ON
2.Step 1, TCAM打开RTP音频通道进行ecall电话拨打
3.Step 1，TCAM上报MSD数据到TSP,格式符合MSD需求
4.Step 2,eCall退出后发送信号[Sig:HmiAndAudReq]==OFF
Step 2, 通话结束后TCAM上报数据埋点消息，包含激活方式，激活时间戳，挂断时间戳</t>
  </si>
  <si>
    <t>Ecall_Active_triggered_by_ecalldown</t>
  </si>
  <si>
    <t>1.通过接收到CDC[API:SetECallWorkStatus].eCallOperationCmd == START_ECALL触发Ecall，在7.5s内不进行取消Ecall操作
2.接通后挂断电话</t>
  </si>
  <si>
    <t>Ecall_Active_triggered_by_CDC</t>
  </si>
  <si>
    <t>1.通过SOA Partner连接TCAM
2.通过SOA接口发送[API:SetECallWorkStatus].eCallOperationCmd == START_ECALL触发Ecall，在7.5s内不进行取消Ecall操作
3.接通后挂断电话</t>
  </si>
  <si>
    <t>1.Step 2, TCAM CAN网络被唤醒并设置CAN信号[Sig:HmiAndAudReq]==ON
2.Step 2, TCAM打开RTP音频通道进行ecall电话拨打
3.Step 2,TCAM上报MSD数据到TSP,格式符合MSD需求
4.Step 3,eCall退出后发送信号[Sig:HmiAndAudReq]==OFF
5.Step 3, 通话结束后TCAM上报数据埋点消息，包含激活方式，激活时间戳，挂断时间戳</t>
  </si>
  <si>
    <t>Ecall_Active_triggered_by_CDC_and_Confirm</t>
  </si>
  <si>
    <t>1.通过SOA Partner连接TCAM
2.通过SOA接口发送[API:SetECallWorkStatus].eCallOperationCmd == START_ECALL触发Ecall
3. 模拟CDC发送确认拨打消息给TCAM[API:SetECallWorkStatus].eCallOperationCmd == CONFIRM_ECALL</t>
  </si>
  <si>
    <t>1.Step 2, TCAM CAN网络被唤醒并设置CAN信号[Sig:HmiAndAudReq]==ON
2.Step 3, TCAM打开RTP音频通道进行ecall电话拨打
3.Step 3,TCAM上报MSD数据到TSP,格式符合MSD需求</t>
  </si>
  <si>
    <t>Ecall_Active_interrupted_by_ACU_Ecall</t>
  </si>
  <si>
    <t>1.通过SOA Partner连接TCAM
2.通过SOS 按钮按下超过100ms触发Ecall
3.7.5s内使用消息[API:SetECallWorkStatus].eCallOperationCmd == START_ECALL触发ACU Ecall</t>
  </si>
  <si>
    <t>1. Step 3, TCAM通过接口[API:NotifyECallStatus]，发送callType=2(Passive被动呼叫)，callSts=1(DIALING正在拨号）</t>
  </si>
  <si>
    <t>Ecall_Active_interrupted_by_Crash_Signal</t>
  </si>
  <si>
    <t>1.通过SOS 按钮按下超过100ms触发Ecall
2.7.5s内发送CAN信号CrashStsSafeSts=Crash</t>
  </si>
  <si>
    <t>1. Step 2, TCAM通过接口[API:NotifyECallStatus]，发送callType=2(Passive被动呼叫)，callSts=1(DIALING正在拨号）</t>
  </si>
  <si>
    <t>Ecall_Active_interrupted_by_SRS_Signal</t>
  </si>
  <si>
    <t>1..通过SOS 按钮按下超过100ms触发Ecall
2.7.5s内模拟SRS硬线信号ImpactTriggerOutput(ITO)检测到碰撞事件</t>
  </si>
  <si>
    <t>1.通过SOS 按钮按下超过100ms触发Ecall
2.7.5s内模拟SRS硬线信号ImpactTriggerOutput(ITO)检测到碰撞事件</t>
  </si>
  <si>
    <t>1.触发Ecall主动通话
2.ECALL通话中设置CDC信号[API:SetECallWorkStatus].eCallOperationCmd == CANCEL_ECALL</t>
  </si>
  <si>
    <t>1.开始主动eCall倒计时：eCallCountTi_TCAM(7.5s)，并设置接口[API:NotifyECallStatus].callType==ACTIVE &amp; [API:NotifyECallStatus].callSts = WAIT_FOR_CONFIRM，置位CAN信号[Sig:HmiAndAudReq]==ON
2.TCAM取消eCall流程，设置接口[API:NotifyECallStatus].callType==ACTIVE &amp;[API:NotifyECallStatus].callSts = IDLE，退出eCall通话</t>
  </si>
  <si>
    <t>1.触发ECALL主动通话
2.7.5S内eCall Service接口识别到CDC信号[API:SetECallWorkStatus].eCallOperationCmd==CANCEL_ECALL</t>
  </si>
  <si>
    <t>1.开始主动eCall倒计时：eCallCountTi_TCAM(7.5s)，并设置接口[API:NotifyECallStatus].callType==ACTIVE &amp; [API:NotifyECallStatus].callSts = WAIT_FOR_CONFIRM，置位CAN信号[Sig:HmiAndAudReq]==ON
2.TCAM推出倒计时等待设置接口[API:NotifyECallStatus].callType==ACTIVE &amp;[API:NotifyECallStatus].callSts == IDLE</t>
  </si>
  <si>
    <t>1.触发ECALL主动通话
2.7.5S内模拟物理按键按下超过100MS</t>
  </si>
  <si>
    <t>1.触发ECALL主动通话
2.进入响铃 | 拨号中 |已接通状态
3.模拟物理按键按下超过100M | 接收到CDC信号[API:SetECallWorkStatus].eCallOperationCmd==HANG_UP_ECALL  |  被拨打电话挂断</t>
  </si>
  <si>
    <t>1.step3  TCAM挂断eCall语音通话，关闭RTP音频通道，并设置接口[API:NotifyECallStatus].callType==ACTIVE &amp; [API:NotifyECallStatus].callSts = =HANG UP</t>
  </si>
  <si>
    <t>Ecall_Passive_triggered_by_ACU</t>
  </si>
  <si>
    <t>1.通过SOA Partner连接TCAM
2.模拟ACU消息[API:SetECallWorkStatus].eCallOperationCmd == START_ECALL来触发被动Ecall
3.通话接通一段时间后网络侧挂断</t>
  </si>
  <si>
    <t>1.Step 2, TCAM CAN网络被唤醒并设置CAN信号[Sig:HmiAndAudReq]==ON
2.Step 2, TCAM打开RTP音频通道进行ecall电话拨打
3.Step 2,TCAM上报MSD数据到TSP,且格式符合MSD格式要求
4.Step 3,TCAM发出CAN信号[Sig:HmiAndAudReq]==OFF
5.Step 3, 通话结束后TCAM上报数据埋点消息，包含激活方式，激活时间戳，挂断时间戳</t>
  </si>
  <si>
    <t>https://jira.jiduauto.com/browse/DPMS-8244</t>
  </si>
  <si>
    <t>Ecall_Passive_triggered_by_Crash_Signal</t>
  </si>
  <si>
    <t>1.模拟发送CAN信号CrashStsSafeSts=Crash
2.通话接通一段时间后网络侧挂断</t>
  </si>
  <si>
    <t>1.Step 1, TCAM CAN网络被唤醒并设置CAN信号[Sig:HmiAndAudReq]==ON
2.Step 1, TCAM打开RTP音频通道进行ecall电话拨打
3.Step 1,TCAM上报MSD数据到TSP
4.Step 2,TCAM发出CAN信号[Sig:HmiAndAudReq]==OFF
5.Step 2, 通话结束后TCAM上报数据埋点消息，包含激活方式，激活时间戳，挂断时间戳</t>
  </si>
  <si>
    <t>Ecall_Passive_triggered_by_SRS_signal</t>
  </si>
  <si>
    <t>1.模拟SRS硬线信号ImpactTriggerOutput(ITO)检测到碰撞事件
2.通话接通一段时间后网络侧挂断</t>
  </si>
  <si>
    <t>1.Step 1, TCAM CAN网络被唤醒并设置CAN信号[Sig:HmiAndAudReq]==ON
2.Step 1, TCAM打开RTP音频通道进行ecall电话拨打
3.Step 1,TCAM上报MSD数据到TSP，且格式符合MSD格式要求
4.Step 2,TCAM发出CAN信号[Sig:HmiAndAudReq]==OFF
5.Step 2, 通话结束后TCAM上报数据埋点消息，包含激活方式，激活时间戳，挂断时间戳</t>
  </si>
  <si>
    <t>Ecall_Passive_triggered_by_CarMode_Crash</t>
  </si>
  <si>
    <t>1. TCAM当前工作模式为Standby
2. SRS硬线信号丢失</t>
  </si>
  <si>
    <t>1.模拟CAN信号[Sig:VehModeMngtGlbSafe1].CarModeSts1 从other mode变为CarModCrash
2.通话接通一段时间后网络侧挂断</t>
  </si>
  <si>
    <t>1.Step 1, TCAM CAN网络被唤醒并设置CAN信号[Sig:HmiAndAudReq]==ON
2.Step 1, TCAM打开RTP音频通道进行ecall电话拨打
3.Step 1,TCAM上报MSD数据到TSP，且格式符合MSD格式要求
4.Step 2,TCAM发出CAN信号[Sig:HmiAndAudReq]==OFF</t>
  </si>
  <si>
    <t>1.模拟SRS硬线信号ImpactTriggerOutput(ITO)检测到碰撞事件
2.通话接通一段时间后模拟CDC | 硬件按钮挂断ECALL</t>
  </si>
  <si>
    <t>1.Step 1, TCAM CAN网络被唤醒并设置CAN信号[Sig:HmiAndAudReq]==ON
2.Step 1, TCAM打开RTP音频通道进行ecall电话拨打
3.Step 1,TCAM上报MSD数据到TSP，且格式符合MSD格式要求
4.Step 2,TCAM发出CAN信号[Sig:HmiAndAudReq]==OFF
5.Step 2, 通话继续</t>
  </si>
  <si>
    <t>1.TCAM当前进行主动通话</t>
  </si>
  <si>
    <t>1.通过SOA Partner连接TCAM
2.模拟ACU消息[API:SetECallWorkStatus].eCallOperationCmd == START_ECALL来触发被动Ecall</t>
  </si>
  <si>
    <t>1.Step 2, 结束主动通话，TCAM CAN网络被唤醒并设置CAN信号[Sig:HmiAndAudReq]==ON
2.Step 2, TCAM打开RTP音频通道进行ecall电话拨打
3.Step 2,TCAM上报MSD数据到TSP,且格式符合MSD格式要求
4.Step 3,TCAM发出CAN信号[Sig:HmiAndAudReq]==OFF</t>
  </si>
  <si>
    <t>Ecall_Passive_retry_once</t>
  </si>
  <si>
    <t>1. TCAM当前工作模式为Standby
2. 辅测机号码已经加入白名单</t>
  </si>
  <si>
    <t>1.辅测机在第一次呼叫前关机
2.模拟发送CAN信号CrashStsSafeSts=Crash
3.第一次呼叫失败后测试机开机</t>
  </si>
  <si>
    <t>1.Step 2,Ecall service发起呼叫，呼叫失败
2.Step 3,30秒后Ecall service再次发起呼叫，可正常接通</t>
  </si>
  <si>
    <t>Ecall_Passive_retry_twice</t>
    <phoneticPr fontId="1" type="noConversion"/>
  </si>
  <si>
    <t>1.辅测机在呼叫前关机
2.模拟发送CAN信号CrashStsSafeSts=Crash
3.第二次呼叫失败后测试机开机</t>
  </si>
  <si>
    <t>1.Step 2,Ecall service隔了30秒发起两次呼叫，呼叫均失败
2.Step 3,30秒后Ecall发起呼叫并成功，可正常接通</t>
  </si>
  <si>
    <t>Ecall_Passive_retry_three_times</t>
    <phoneticPr fontId="1" type="noConversion"/>
  </si>
  <si>
    <t>1.辅测机在呼叫前关机
2.模拟发送CAN信号CrashStsSafeSts=Crash
3.第三次呼叫失败后测试机开机</t>
  </si>
  <si>
    <t>1.Step 2,Ecall service隔了30秒发起三次呼叫，呼叫均失败
2.Step 3,ECALL service不再主动尝试进行通话</t>
  </si>
  <si>
    <t>Ecall_Passive_fail_retry</t>
    <phoneticPr fontId="1" type="noConversion"/>
  </si>
  <si>
    <t>1.辅测机在呼叫前关机
2.模拟发送CAN信号CrashStsSafeSts=Crash
3.第二次呼叫失败后重启TCAM</t>
  </si>
  <si>
    <t>1.Step 2,Ecall service隔了30秒发起两次呼叫，呼叫均失败
2.Step 3,ECALL service不再主动尝试进行通话</t>
  </si>
  <si>
    <t>Ecall_Active_Interrupt_Bcall</t>
  </si>
  <si>
    <t>1.手动触发Bcall并等待接通
2.通过SOS按钮触发Ecall</t>
  </si>
  <si>
    <t>1.Step 1，Bcall正常触发，可以进行通话
2.Step 2，结束Bcall流程并触发Ecall</t>
  </si>
  <si>
    <t>Ecall_Passive_Interrupt_Bcall</t>
  </si>
  <si>
    <t>1.手动触发Bcall并等待接通
2.通过CAN信号[Sig:CrashStsSafe]=Crash触发Ecall</t>
  </si>
  <si>
    <t>Ecall_Active_deny_Bcall_out</t>
  </si>
  <si>
    <t>1.通过SOS按钮触发Ecall
2.手动触发Bcall并等待接通</t>
  </si>
  <si>
    <t>1.Step 1，Ecall正常触发，可以进行通话
2.Step 2，Ecall正常进行，Bcall不能触发</t>
  </si>
  <si>
    <t>Ecall_Passive_deny_Bcall_out</t>
  </si>
  <si>
    <t>1.通过CAN信号[Sig:CrashStsSafe]=Crash触发Ecall
2.手动触发Bcall并等待接通</t>
  </si>
  <si>
    <t>Ecall_Active_deny_Bcall_Incoming</t>
  </si>
  <si>
    <t>1.通过SOS按钮触发Ecall
2.通过其他设别进行Bcall呼入</t>
  </si>
  <si>
    <t>1.Step 1，Ecall正常触发，可以进行通话
2.Step 2，Ecall正常进行，呼入的Bcall进行呼叫保持</t>
  </si>
  <si>
    <t>Ecall_Passive_deny_Bcall_Incoming</t>
  </si>
  <si>
    <t>1.通过CAN信号[Sig:CrashStsSafe]=Crash触发Ecall
2.通过其他设别进行Bcall呼入</t>
  </si>
  <si>
    <t>Ecall_config_CallFunctionType_NoRequest</t>
  </si>
  <si>
    <t>1. TCAM已经连接TSP</t>
  </si>
  <si>
    <t>1.通过TSP接口下发CallFunctionType=No request，CallType=No request,CallNumber=辅测机号码
2.Ecall Service状态切换为Standby
3.通过SOS按钮手动触发Ecall
4.辅测机拨打TCAM号码
5.手动触发Bcall
6.辅测机通过Bcall拨打TCAM号码</t>
  </si>
  <si>
    <t>1.Step 1，TSP下发成功，CallFunctionType=Ecall
2.Step 3，Ecall不能呼叫辅测机号码
3.Step 4，TCAM不能呼入
4.Step 5，Bcall不能呼叫辅测机号码
5.Step 6，TCAM不能通过Bcall呼入</t>
  </si>
  <si>
    <t>Ecall_config_CallFunctionType_Ecall</t>
  </si>
  <si>
    <t>Ecall_config_CallFunctionType_Bcall</t>
  </si>
  <si>
    <t>1.通过TSP接口下发CallFunctionType=Bcall，
CallType=No request,
CallNumber=辅测机号码
2.Ecall Service状态切换为Standby
3.通过SOS按钮手动触发Ecall
4.辅测机拨打TCAM号码
5.手动触发Bcall
6.辅测机通过Bcall拨打TCAM号码</t>
  </si>
  <si>
    <t>1.Step 1，TSP下发成功，CallFunctionType=Ecall
2.Step 3，Ecall呼叫辅测机号码
3.Step 4，TCAM不能呼入
4.Step 5，Bcall不能呼叫辅测机号码
5.Step 6，TCAM不能通过Bcall呼入</t>
  </si>
  <si>
    <t>1.通过TSP接口下发CallFunctionType=No request，CallType=Dial out,CallNumber=辅测机号码
2.Ecall Service状态切换为Standby
3.通过SOS按钮手动触发Ecall
4.辅测机拨打TCAM号码
5.手动触发Bcall
6.辅测机通过Bcall拨打TCAM号码</t>
  </si>
  <si>
    <t>1.通过TSP接口下发CallFunctionType=Ecall，CallType=Dial out,CallNumber=辅测机号码
2.Ecall Service状态切换为Standby
3.通过SOS按钮手动触发Ecall
4.辅测机拨打TCAM号码
5.手动触发Bcall
6.辅测机通过Bcall拨打TCAM号码</t>
  </si>
  <si>
    <t>TCAM_Ecall_0006</t>
    <phoneticPr fontId="1" type="noConversion"/>
  </si>
  <si>
    <t>1.Step 1，TSP下发成功，CallFunctionType=Ecall
2.Step 3，Ecall不能呼叫辅测机号码
3.Step 4，TCAM不能能够被辅测机号码呼入
4.Step 5，Bcall不能呼叫辅测机号码
5.Step 6，TCAM不能通过Bcall呼入</t>
  </si>
  <si>
    <t>TCAM_Ecall_0007</t>
    <phoneticPr fontId="1" type="noConversion"/>
  </si>
  <si>
    <t>Ecall_config_CallFunctionType_Bcall</t>
    <phoneticPr fontId="1" type="noConversion"/>
  </si>
  <si>
    <t>Ecall_backup_battery_work_20min</t>
  </si>
  <si>
    <t>1.通过SOS按钮手动触发Ecall，并用辅测机接通
2.移除低压供电，保持通话20分钟</t>
  </si>
  <si>
    <t>1.Step 2，低压电池移除后备用电池能够支持通话超过20分钟</t>
  </si>
  <si>
    <t>Ecall_trigger_Ecall_During_backup_battery</t>
  </si>
  <si>
    <t>1.移除低压供电
2.通过SOS按钮手动触发Ecall，用辅测机接通并保持通话20分钟</t>
  </si>
  <si>
    <t>1.Step 2，按钮触发后10s内可以触发Ecall, 备用电池能够支持通话超过20分钟</t>
  </si>
  <si>
    <t>1.查看APN分配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</si>
</sst>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宋体"/>
      <charset val="134"/>
    </font>
    <font>
      <sz val="9"/>
      <name val="宋体"/>
      <charset val="134"/>
    </font>
    <font>
      <sz val="10"/>
      <color indexed="8"/>
      <name val="Arial"/>
    </font>
    <font>
      <b/>
      <sz val="10"/>
      <color indexed="9"/>
      <name val="Arial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宋体"/>
      <family val="3"/>
      <charset val="134"/>
    </font>
    <font>
      <sz val="10"/>
      <color indexed="8"/>
      <name val="Arial"/>
      <family val="3"/>
      <charset val="134"/>
    </font>
    <font>
      <b/>
      <sz val="10"/>
      <color indexed="9"/>
      <name val="Arial"/>
      <family val="2"/>
    </font>
    <font>
      <sz val="10"/>
      <color rgb="FF000000"/>
      <name val="宋体"/>
      <family val="2"/>
      <charset val="134"/>
    </font>
    <font>
      <sz val="10"/>
      <color rgb="FF000000"/>
      <name val="Arial"/>
      <family val="2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u/>
      <sz val="11"/>
      <color theme="10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trike/>
      <sz val="10"/>
      <color indexed="8"/>
      <name val="宋体"/>
      <family val="3"/>
      <charset val="134"/>
      <scheme val="minor"/>
    </font>
    <font>
      <u/>
      <sz val="11"/>
      <color rgb="FF0563C1"/>
      <name val="宋体"/>
      <family val="3"/>
      <charset val="134"/>
      <scheme val="minor"/>
    </font>
    <font>
      <sz val="10"/>
      <color rgb="FF000000"/>
      <name val="Arial"/>
    </font>
    <font>
      <b/>
      <sz val="10"/>
      <color rgb="FFFFFFFF"/>
      <name val="Arial"/>
    </font>
    <font>
      <sz val="11"/>
      <color indexed="8"/>
      <name val="Arial"/>
    </font>
    <font>
      <u/>
      <sz val="11"/>
      <color theme="10"/>
      <name val="Arial"/>
    </font>
    <font>
      <sz val="11"/>
      <color rgb="FF000000"/>
      <name val="Arial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rgb="FF000000"/>
      <name val="宋体"/>
      <family val="3"/>
      <charset val="134"/>
    </font>
    <font>
      <sz val="10"/>
      <color rgb="FF000000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9B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rgb="FFFFF8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3" fillId="0" borderId="0"/>
  </cellStyleXfs>
  <cellXfs count="13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10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1" fillId="0" borderId="0" xfId="1"/>
    <xf numFmtId="0" fontId="5" fillId="0" borderId="0" xfId="1" applyFont="1" applyAlignment="1">
      <alignment horizontal="left" vertical="center"/>
    </xf>
    <xf numFmtId="0" fontId="0" fillId="0" borderId="0" xfId="0"/>
    <xf numFmtId="0" fontId="8" fillId="0" borderId="0" xfId="1" applyFont="1"/>
    <xf numFmtId="0" fontId="0" fillId="8" borderId="1" xfId="0" applyFill="1" applyBorder="1"/>
    <xf numFmtId="0" fontId="16" fillId="0" borderId="1" xfId="1" applyFont="1" applyBorder="1" applyAlignment="1">
      <alignment horizontal="left" vertical="center"/>
    </xf>
    <xf numFmtId="0" fontId="17" fillId="0" borderId="1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vertical="center"/>
    </xf>
    <xf numFmtId="0" fontId="18" fillId="6" borderId="0" xfId="0" applyFont="1" applyFill="1"/>
    <xf numFmtId="0" fontId="18" fillId="0" borderId="0" xfId="0" applyFont="1" applyAlignment="1">
      <alignment wrapText="1"/>
    </xf>
    <xf numFmtId="0" fontId="18" fillId="5" borderId="0" xfId="0" applyFont="1" applyFill="1"/>
    <xf numFmtId="0" fontId="17" fillId="0" borderId="0" xfId="0" applyFont="1" applyAlignment="1">
      <alignment wrapText="1"/>
    </xf>
    <xf numFmtId="0" fontId="20" fillId="0" borderId="0" xfId="0" applyFont="1"/>
    <xf numFmtId="0" fontId="17" fillId="0" borderId="0" xfId="0" applyFont="1"/>
    <xf numFmtId="0" fontId="18" fillId="0" borderId="0" xfId="0" applyFont="1"/>
    <xf numFmtId="0" fontId="18" fillId="3" borderId="0" xfId="0" applyFont="1" applyFill="1"/>
    <xf numFmtId="0" fontId="18" fillId="4" borderId="0" xfId="0" applyFont="1" applyFill="1"/>
    <xf numFmtId="0" fontId="15" fillId="0" borderId="7" xfId="0" applyFont="1" applyBorder="1"/>
    <xf numFmtId="0" fontId="17" fillId="0" borderId="7" xfId="0" applyFont="1" applyBorder="1"/>
    <xf numFmtId="0" fontId="3" fillId="2" borderId="1" xfId="0" applyFont="1" applyFill="1" applyBorder="1"/>
    <xf numFmtId="0" fontId="21" fillId="0" borderId="0" xfId="0" applyFont="1"/>
    <xf numFmtId="0" fontId="21" fillId="0" borderId="0" xfId="0" applyFont="1" applyAlignment="1">
      <alignment wrapText="1"/>
    </xf>
    <xf numFmtId="0" fontId="21" fillId="3" borderId="0" xfId="0" applyFont="1" applyFill="1"/>
    <xf numFmtId="0" fontId="21" fillId="4" borderId="0" xfId="0" applyFont="1" applyFill="1"/>
    <xf numFmtId="0" fontId="24" fillId="0" borderId="0" xfId="2" applyFont="1"/>
    <xf numFmtId="0" fontId="25" fillId="0" borderId="0" xfId="0" applyFont="1" applyAlignment="1">
      <alignment wrapText="1"/>
    </xf>
    <xf numFmtId="0" fontId="26" fillId="7" borderId="9" xfId="0" applyFont="1" applyFill="1" applyBorder="1"/>
    <xf numFmtId="0" fontId="26" fillId="7" borderId="10" xfId="0" applyFont="1" applyFill="1" applyBorder="1"/>
    <xf numFmtId="0" fontId="26" fillId="7" borderId="1" xfId="0" applyFont="1" applyFill="1" applyBorder="1"/>
    <xf numFmtId="0" fontId="27" fillId="7" borderId="1" xfId="0" applyFont="1" applyFill="1" applyBorder="1"/>
    <xf numFmtId="0" fontId="26" fillId="7" borderId="11" xfId="0" applyFont="1" applyFill="1" applyBorder="1"/>
    <xf numFmtId="0" fontId="22" fillId="7" borderId="1" xfId="0" applyFont="1" applyFill="1" applyBorder="1"/>
    <xf numFmtId="0" fontId="22" fillId="7" borderId="9" xfId="0" applyFont="1" applyFill="1" applyBorder="1"/>
    <xf numFmtId="0" fontId="22" fillId="7" borderId="10" xfId="0" applyFont="1" applyFill="1" applyBorder="1"/>
    <xf numFmtId="0" fontId="22" fillId="7" borderId="11" xfId="0" applyFont="1" applyFill="1" applyBorder="1"/>
    <xf numFmtId="0" fontId="23" fillId="0" borderId="1" xfId="0" applyFont="1" applyBorder="1"/>
    <xf numFmtId="0" fontId="25" fillId="0" borderId="1" xfId="0" applyFont="1" applyBorder="1"/>
    <xf numFmtId="0" fontId="23" fillId="0" borderId="0" xfId="0" applyFont="1"/>
    <xf numFmtId="0" fontId="3" fillId="2" borderId="1" xfId="0" applyFont="1" applyFill="1" applyBorder="1" applyAlignment="1">
      <alignment wrapText="1"/>
    </xf>
    <xf numFmtId="0" fontId="3" fillId="2" borderId="0" xfId="0" applyFont="1" applyFill="1"/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/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1" fillId="9" borderId="1" xfId="0" applyFont="1" applyFill="1" applyBorder="1"/>
    <xf numFmtId="0" fontId="0" fillId="0" borderId="1" xfId="0" applyBorder="1"/>
    <xf numFmtId="0" fontId="28" fillId="0" borderId="1" xfId="0" applyFont="1" applyBorder="1"/>
    <xf numFmtId="0" fontId="11" fillId="9" borderId="1" xfId="0" applyFont="1" applyFill="1" applyBorder="1" applyAlignment="1">
      <alignment wrapText="1"/>
    </xf>
    <xf numFmtId="0" fontId="14" fillId="0" borderId="0" xfId="0" applyFont="1"/>
    <xf numFmtId="0" fontId="14" fillId="10" borderId="1" xfId="0" applyFont="1" applyFill="1" applyBorder="1" applyAlignment="1">
      <alignment wrapText="1"/>
    </xf>
    <xf numFmtId="0" fontId="29" fillId="0" borderId="1" xfId="0" applyFont="1" applyBorder="1"/>
    <xf numFmtId="0" fontId="4" fillId="0" borderId="0" xfId="0" applyFont="1"/>
    <xf numFmtId="0" fontId="14" fillId="0" borderId="0" xfId="0" applyFont="1" applyAlignment="1">
      <alignment wrapText="1"/>
    </xf>
    <xf numFmtId="0" fontId="29" fillId="0" borderId="6" xfId="0" applyFont="1" applyBorder="1"/>
    <xf numFmtId="0" fontId="8" fillId="2" borderId="1" xfId="0" applyFont="1" applyFill="1" applyBorder="1"/>
    <xf numFmtId="0" fontId="14" fillId="0" borderId="1" xfId="0" applyFont="1" applyBorder="1"/>
    <xf numFmtId="0" fontId="14" fillId="0" borderId="12" xfId="0" applyFont="1" applyBorder="1" applyAlignment="1">
      <alignment wrapText="1"/>
    </xf>
    <xf numFmtId="0" fontId="14" fillId="0" borderId="12" xfId="0" applyFont="1" applyBorder="1"/>
    <xf numFmtId="0" fontId="14" fillId="0" borderId="7" xfId="0" applyFont="1" applyBorder="1"/>
    <xf numFmtId="0" fontId="14" fillId="0" borderId="13" xfId="0" applyFont="1" applyBorder="1" applyAlignment="1">
      <alignment wrapText="1"/>
    </xf>
    <xf numFmtId="0" fontId="14" fillId="0" borderId="13" xfId="0" applyFont="1" applyBorder="1"/>
    <xf numFmtId="0" fontId="22" fillId="7" borderId="14" xfId="0" applyFont="1" applyFill="1" applyBorder="1"/>
    <xf numFmtId="0" fontId="22" fillId="7" borderId="15" xfId="0" applyFont="1" applyFill="1" applyBorder="1"/>
    <xf numFmtId="0" fontId="22" fillId="7" borderId="5" xfId="0" applyFont="1" applyFill="1" applyBorder="1"/>
    <xf numFmtId="0" fontId="22" fillId="7" borderId="16" xfId="0" applyFont="1" applyFill="1" applyBorder="1"/>
    <xf numFmtId="0" fontId="17" fillId="0" borderId="1" xfId="0" applyFont="1" applyBorder="1"/>
    <xf numFmtId="0" fontId="14" fillId="0" borderId="1" xfId="0" applyFont="1" applyBorder="1" applyAlignment="1">
      <alignment wrapText="1"/>
    </xf>
    <xf numFmtId="0" fontId="11" fillId="0" borderId="1" xfId="1" applyBorder="1"/>
    <xf numFmtId="0" fontId="16" fillId="0" borderId="8" xfId="1" applyFont="1" applyBorder="1" applyAlignment="1">
      <alignment horizontal="left" vertical="center"/>
    </xf>
    <xf numFmtId="0" fontId="16" fillId="0" borderId="2" xfId="1" applyFont="1" applyBorder="1" applyAlignment="1">
      <alignment horizontal="left" vertical="center"/>
    </xf>
    <xf numFmtId="0" fontId="30" fillId="0" borderId="2" xfId="0" applyFont="1" applyBorder="1"/>
    <xf numFmtId="0" fontId="30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0" xfId="0" applyFont="1" applyBorder="1" applyAlignment="1">
      <alignment wrapText="1"/>
    </xf>
    <xf numFmtId="0" fontId="30" fillId="0" borderId="10" xfId="0" applyFont="1" applyBorder="1" applyAlignment="1">
      <alignment wrapText="1"/>
    </xf>
    <xf numFmtId="0" fontId="30" fillId="0" borderId="10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8" xfId="0" applyFont="1" applyBorder="1" applyAlignment="1">
      <alignment wrapText="1"/>
    </xf>
    <xf numFmtId="0" fontId="30" fillId="0" borderId="18" xfId="0" applyFont="1" applyBorder="1" applyAlignment="1">
      <alignment wrapText="1"/>
    </xf>
    <xf numFmtId="0" fontId="14" fillId="0" borderId="3" xfId="0" applyFont="1" applyBorder="1"/>
    <xf numFmtId="0" fontId="14" fillId="0" borderId="4" xfId="0" applyFont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8" fillId="2" borderId="0" xfId="0" applyFont="1" applyFill="1"/>
    <xf numFmtId="0" fontId="22" fillId="7" borderId="5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1" fillId="0" borderId="0" xfId="1" applyAlignment="1">
      <alignment horizontal="left" vertical="center"/>
    </xf>
    <xf numFmtId="0" fontId="22" fillId="7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8" fillId="2" borderId="0" xfId="0" applyFont="1" applyFill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wrapText="1"/>
    </xf>
    <xf numFmtId="0" fontId="0" fillId="11" borderId="0" xfId="0" applyFill="1" applyAlignment="1">
      <alignment horizontal="left"/>
    </xf>
  </cellXfs>
  <cellStyles count="3">
    <cellStyle name="Hyperlink" xfId="2" xr:uid="{00000000-0005-0000-0000-00002B000000}"/>
    <cellStyle name="常规" xfId="0" builtinId="0"/>
    <cellStyle name="常规 2" xfId="1" xr:uid="{00000000-0005-0000-0000-00002A000000}"/>
  </cellStyles>
  <dxfs count="240"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F800"/>
        </patternFill>
      </fill>
    </dxf>
    <dxf>
      <fill>
        <patternFill>
          <bgColor rgb="FFFF9933"/>
        </patternFill>
      </fill>
    </dxf>
    <dxf>
      <fill>
        <patternFill>
          <bgColor indexed="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  <dxf>
      <fill>
        <patternFill>
          <bgColor rgb="FFFFE9BC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1352550</xdr:colOff>
      <xdr:row>6</xdr:row>
      <xdr:rowOff>113293</xdr:rowOff>
    </xdr:from>
    <xdr:to>
      <xdr:col>3</xdr:col>
      <xdr:colOff>2803438</xdr:colOff>
      <xdr:row>19</xdr:row>
      <xdr:rowOff>120651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2284993"/>
          <a:ext cx="3089188" cy="21123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idu.sharepoint.cn/Users/yu.zhang01/&#24037;&#20316;/&#27979;&#35797;/V0.4&#27979;&#35797;/SOA_TCAM_V0.6_&#27979;&#35797;&#29992;&#2036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idu.sharepoint.cn/Users/yu.zhang01/&#24037;&#20316;/&#27979;&#35797;/V0.4&#27979;&#35797;/SOA_B_&#27979;&#35797;&#29992;&#2036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template"/>
      <sheetName val="Test Report"/>
      <sheetName val="功能测试报告"/>
      <sheetName val="ValidationData"/>
      <sheetName val="Sheet1"/>
    </sheetNames>
    <sheetDataSet>
      <sheetData sheetId="0" refreshError="1"/>
      <sheetData sheetId="1" refreshError="1"/>
      <sheetData sheetId="2" refreshError="1"/>
      <sheetData sheetId="3">
        <row r="1">
          <cell r="D1" t="str">
            <v>Unassigned</v>
          </cell>
          <cell r="E1" t="str">
            <v>Unassigned</v>
          </cell>
          <cell r="G1" t="str">
            <v>Unassigned</v>
          </cell>
        </row>
        <row r="2">
          <cell r="D2" t="str">
            <v>Vehicle</v>
          </cell>
          <cell r="E2" t="str">
            <v>Manual</v>
          </cell>
          <cell r="G2" t="str">
            <v>P0</v>
          </cell>
        </row>
        <row r="3">
          <cell r="D3" t="str">
            <v>Bench</v>
          </cell>
          <cell r="E3" t="str">
            <v>Automation</v>
          </cell>
          <cell r="G3" t="str">
            <v>P1</v>
          </cell>
        </row>
        <row r="4">
          <cell r="D4" t="str">
            <v>Simulator</v>
          </cell>
          <cell r="G4" t="str">
            <v>P2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template"/>
      <sheetName val="ValidationData"/>
      <sheetName val="Sheet1"/>
      <sheetName val="DoIP"/>
      <sheetName val="EM"/>
      <sheetName val="HV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jiduauto.com/browse/DPMS-15623" TargetMode="External"/><Relationship Id="rId13" Type="http://schemas.openxmlformats.org/officeDocument/2006/relationships/hyperlink" Target="https://jira.jiduauto.com/browse/DPMS-15623" TargetMode="External"/><Relationship Id="rId18" Type="http://schemas.openxmlformats.org/officeDocument/2006/relationships/hyperlink" Target="https://jira.jiduauto.com/browse/DPMS-15623" TargetMode="External"/><Relationship Id="rId26" Type="http://schemas.openxmlformats.org/officeDocument/2006/relationships/hyperlink" Target="https://jira.jiduauto.com/browse/DPMS-15623" TargetMode="External"/><Relationship Id="rId3" Type="http://schemas.openxmlformats.org/officeDocument/2006/relationships/hyperlink" Target="https://jira.jiduauto.com/browse/DPMS-15623" TargetMode="External"/><Relationship Id="rId21" Type="http://schemas.openxmlformats.org/officeDocument/2006/relationships/hyperlink" Target="https://jira.jiduauto.com/browse/DPMS-15623" TargetMode="External"/><Relationship Id="rId7" Type="http://schemas.openxmlformats.org/officeDocument/2006/relationships/hyperlink" Target="https://jira.jiduauto.com/browse/DPMS-15623" TargetMode="External"/><Relationship Id="rId12" Type="http://schemas.openxmlformats.org/officeDocument/2006/relationships/hyperlink" Target="https://jira.jiduauto.com/browse/DPMS-15623" TargetMode="External"/><Relationship Id="rId17" Type="http://schemas.openxmlformats.org/officeDocument/2006/relationships/hyperlink" Target="https://jira.jiduauto.com/browse/DPMS-15623" TargetMode="External"/><Relationship Id="rId25" Type="http://schemas.openxmlformats.org/officeDocument/2006/relationships/hyperlink" Target="https://jira.jiduauto.com/browse/DPMS-15623" TargetMode="External"/><Relationship Id="rId2" Type="http://schemas.openxmlformats.org/officeDocument/2006/relationships/hyperlink" Target="https://jira.jiduauto.com/browse/DPMS-15623" TargetMode="External"/><Relationship Id="rId16" Type="http://schemas.openxmlformats.org/officeDocument/2006/relationships/hyperlink" Target="https://jira.jiduauto.com/browse/DPMS-15623" TargetMode="External"/><Relationship Id="rId20" Type="http://schemas.openxmlformats.org/officeDocument/2006/relationships/hyperlink" Target="https://jira.jiduauto.com/browse/DPMS-15623" TargetMode="External"/><Relationship Id="rId29" Type="http://schemas.openxmlformats.org/officeDocument/2006/relationships/hyperlink" Target="https://jira.jiduauto.com/browse/DPMS-15623" TargetMode="External"/><Relationship Id="rId1" Type="http://schemas.openxmlformats.org/officeDocument/2006/relationships/hyperlink" Target="https://jira.jiduauto.com/browse/DPMS-15623" TargetMode="External"/><Relationship Id="rId6" Type="http://schemas.openxmlformats.org/officeDocument/2006/relationships/hyperlink" Target="https://jira.jiduauto.com/browse/DPMS-15623" TargetMode="External"/><Relationship Id="rId11" Type="http://schemas.openxmlformats.org/officeDocument/2006/relationships/hyperlink" Target="https://jira.jiduauto.com/browse/DPMS-15623" TargetMode="External"/><Relationship Id="rId24" Type="http://schemas.openxmlformats.org/officeDocument/2006/relationships/hyperlink" Target="https://jira.jiduauto.com/browse/DPMS-15623" TargetMode="External"/><Relationship Id="rId5" Type="http://schemas.openxmlformats.org/officeDocument/2006/relationships/hyperlink" Target="https://jira.jiduauto.com/browse/DPMS-15623" TargetMode="External"/><Relationship Id="rId15" Type="http://schemas.openxmlformats.org/officeDocument/2006/relationships/hyperlink" Target="https://jira.jiduauto.com/browse/DPMS-15623" TargetMode="External"/><Relationship Id="rId23" Type="http://schemas.openxmlformats.org/officeDocument/2006/relationships/hyperlink" Target="https://jira.jiduauto.com/browse/DPMS-15623" TargetMode="External"/><Relationship Id="rId28" Type="http://schemas.openxmlformats.org/officeDocument/2006/relationships/hyperlink" Target="https://jira.jiduauto.com/browse/DPMS-15623" TargetMode="External"/><Relationship Id="rId10" Type="http://schemas.openxmlformats.org/officeDocument/2006/relationships/hyperlink" Target="https://jira.jiduauto.com/browse/DPMS-15623" TargetMode="External"/><Relationship Id="rId19" Type="http://schemas.openxmlformats.org/officeDocument/2006/relationships/hyperlink" Target="https://jira.jiduauto.com/browse/DPMS-15623" TargetMode="External"/><Relationship Id="rId4" Type="http://schemas.openxmlformats.org/officeDocument/2006/relationships/hyperlink" Target="https://jira.jiduauto.com/browse/DPMS-15623" TargetMode="External"/><Relationship Id="rId9" Type="http://schemas.openxmlformats.org/officeDocument/2006/relationships/hyperlink" Target="https://jira.jiduauto.com/browse/DPMS-15623" TargetMode="External"/><Relationship Id="rId14" Type="http://schemas.openxmlformats.org/officeDocument/2006/relationships/hyperlink" Target="https://jira.jiduauto.com/browse/DPMS-15623" TargetMode="External"/><Relationship Id="rId22" Type="http://schemas.openxmlformats.org/officeDocument/2006/relationships/hyperlink" Target="https://jira.jiduauto.com/browse/DPMS-15623" TargetMode="External"/><Relationship Id="rId27" Type="http://schemas.openxmlformats.org/officeDocument/2006/relationships/hyperlink" Target="https://jira.jiduauto.com/browse/DPMS-15623" TargetMode="External"/><Relationship Id="rId30" Type="http://schemas.openxmlformats.org/officeDocument/2006/relationships/hyperlink" Target="https://jira.jiduauto.com/browse/DPMS-15623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jiduauto.com/browse/DPMS-8238" TargetMode="External"/><Relationship Id="rId18" Type="http://schemas.openxmlformats.org/officeDocument/2006/relationships/hyperlink" Target="https://jira.jiduauto.com/browse/DPMS-8238" TargetMode="External"/><Relationship Id="rId26" Type="http://schemas.openxmlformats.org/officeDocument/2006/relationships/hyperlink" Target="https://jira.jiduauto.com/browse/DPMS-8238" TargetMode="External"/><Relationship Id="rId39" Type="http://schemas.openxmlformats.org/officeDocument/2006/relationships/hyperlink" Target="https://jira.jiduauto.com/browse/DPMS-8244" TargetMode="External"/><Relationship Id="rId21" Type="http://schemas.openxmlformats.org/officeDocument/2006/relationships/hyperlink" Target="https://jira.jiduauto.com/browse/DPMS-8238" TargetMode="External"/><Relationship Id="rId34" Type="http://schemas.openxmlformats.org/officeDocument/2006/relationships/hyperlink" Target="https://jira.jiduauto.com/browse/DPMS-8238" TargetMode="External"/><Relationship Id="rId42" Type="http://schemas.openxmlformats.org/officeDocument/2006/relationships/hyperlink" Target="https://jira.jiduauto.com/browse/DPMS-8244" TargetMode="External"/><Relationship Id="rId47" Type="http://schemas.openxmlformats.org/officeDocument/2006/relationships/hyperlink" Target="https://jira.jiduauto.com/browse/DPMS-8244" TargetMode="External"/><Relationship Id="rId50" Type="http://schemas.openxmlformats.org/officeDocument/2006/relationships/hyperlink" Target="https://jira.jiduauto.com/browse/DPMS-8238" TargetMode="External"/><Relationship Id="rId55" Type="http://schemas.openxmlformats.org/officeDocument/2006/relationships/hyperlink" Target="https://jira.jiduauto.com/browse/DPMS-8238" TargetMode="External"/><Relationship Id="rId63" Type="http://schemas.openxmlformats.org/officeDocument/2006/relationships/hyperlink" Target="https://jira.jiduauto.com/browse/DPMS-8238" TargetMode="External"/><Relationship Id="rId7" Type="http://schemas.openxmlformats.org/officeDocument/2006/relationships/hyperlink" Target="https://jira.jiduauto.com/browse/DPMS-8238" TargetMode="External"/><Relationship Id="rId2" Type="http://schemas.openxmlformats.org/officeDocument/2006/relationships/hyperlink" Target="https://jira.jiduauto.com/browse/DPMS-8238" TargetMode="External"/><Relationship Id="rId16" Type="http://schemas.openxmlformats.org/officeDocument/2006/relationships/hyperlink" Target="https://jira.jiduauto.com/browse/DPMS-8238" TargetMode="External"/><Relationship Id="rId29" Type="http://schemas.openxmlformats.org/officeDocument/2006/relationships/hyperlink" Target="https://jira.jiduauto.com/browse/DPMS-8238" TargetMode="External"/><Relationship Id="rId11" Type="http://schemas.openxmlformats.org/officeDocument/2006/relationships/hyperlink" Target="https://jira.jiduauto.com/browse/DPMS-8238" TargetMode="External"/><Relationship Id="rId24" Type="http://schemas.openxmlformats.org/officeDocument/2006/relationships/hyperlink" Target="https://jira.jiduauto.com/browse/DPMS-8238" TargetMode="External"/><Relationship Id="rId32" Type="http://schemas.openxmlformats.org/officeDocument/2006/relationships/hyperlink" Target="https://jira.jiduauto.com/browse/DPMS-8238" TargetMode="External"/><Relationship Id="rId37" Type="http://schemas.openxmlformats.org/officeDocument/2006/relationships/hyperlink" Target="https://jira.jiduauto.com/browse/DPMS-8244" TargetMode="External"/><Relationship Id="rId40" Type="http://schemas.openxmlformats.org/officeDocument/2006/relationships/hyperlink" Target="https://jira.jiduauto.com/browse/DPMS-8244" TargetMode="External"/><Relationship Id="rId45" Type="http://schemas.openxmlformats.org/officeDocument/2006/relationships/hyperlink" Target="https://jira.jiduauto.com/browse/DPMS-8244" TargetMode="External"/><Relationship Id="rId53" Type="http://schemas.openxmlformats.org/officeDocument/2006/relationships/hyperlink" Target="https://jira.jiduauto.com/browse/DPMS-8238" TargetMode="External"/><Relationship Id="rId58" Type="http://schemas.openxmlformats.org/officeDocument/2006/relationships/hyperlink" Target="https://jira.jiduauto.com/browse/DPMS-8238" TargetMode="External"/><Relationship Id="rId5" Type="http://schemas.openxmlformats.org/officeDocument/2006/relationships/hyperlink" Target="https://jira.jiduauto.com/browse/DPMS-8238" TargetMode="External"/><Relationship Id="rId61" Type="http://schemas.openxmlformats.org/officeDocument/2006/relationships/hyperlink" Target="https://jira.jiduauto.com/browse/DPMS-8238" TargetMode="External"/><Relationship Id="rId19" Type="http://schemas.openxmlformats.org/officeDocument/2006/relationships/hyperlink" Target="https://jira.jiduauto.com/browse/DPMS-8238" TargetMode="External"/><Relationship Id="rId14" Type="http://schemas.openxmlformats.org/officeDocument/2006/relationships/hyperlink" Target="https://jira.jiduauto.com/browse/DPMS-8238" TargetMode="External"/><Relationship Id="rId22" Type="http://schemas.openxmlformats.org/officeDocument/2006/relationships/hyperlink" Target="https://jira.jiduauto.com/browse/DPMS-8238" TargetMode="External"/><Relationship Id="rId27" Type="http://schemas.openxmlformats.org/officeDocument/2006/relationships/hyperlink" Target="https://jira.jiduauto.com/browse/DPMS-8238" TargetMode="External"/><Relationship Id="rId30" Type="http://schemas.openxmlformats.org/officeDocument/2006/relationships/hyperlink" Target="https://jira.jiduauto.com/browse/DPMS-8238" TargetMode="External"/><Relationship Id="rId35" Type="http://schemas.openxmlformats.org/officeDocument/2006/relationships/hyperlink" Target="https://jira.jiduauto.com/browse/DPMS-8238" TargetMode="External"/><Relationship Id="rId43" Type="http://schemas.openxmlformats.org/officeDocument/2006/relationships/hyperlink" Target="https://jira.jiduauto.com/browse/DPMS-8244" TargetMode="External"/><Relationship Id="rId48" Type="http://schemas.openxmlformats.org/officeDocument/2006/relationships/hyperlink" Target="https://jira.jiduauto.com/browse/DPMS-8244" TargetMode="External"/><Relationship Id="rId56" Type="http://schemas.openxmlformats.org/officeDocument/2006/relationships/hyperlink" Target="https://jira.jiduauto.com/browse/DPMS-8238" TargetMode="External"/><Relationship Id="rId8" Type="http://schemas.openxmlformats.org/officeDocument/2006/relationships/hyperlink" Target="https://jira.jiduauto.com/browse/DPMS-8238" TargetMode="External"/><Relationship Id="rId51" Type="http://schemas.openxmlformats.org/officeDocument/2006/relationships/hyperlink" Target="https://jira.jiduauto.com/browse/DPMS-8238" TargetMode="External"/><Relationship Id="rId3" Type="http://schemas.openxmlformats.org/officeDocument/2006/relationships/hyperlink" Target="https://jira.jiduauto.com/browse/DPMS-8238" TargetMode="External"/><Relationship Id="rId12" Type="http://schemas.openxmlformats.org/officeDocument/2006/relationships/hyperlink" Target="https://jira.jiduauto.com/browse/DPMS-8238" TargetMode="External"/><Relationship Id="rId17" Type="http://schemas.openxmlformats.org/officeDocument/2006/relationships/hyperlink" Target="https://jira.jiduauto.com/browse/DPMS-8238" TargetMode="External"/><Relationship Id="rId25" Type="http://schemas.openxmlformats.org/officeDocument/2006/relationships/hyperlink" Target="https://jira.jiduauto.com/browse/DPMS-8238" TargetMode="External"/><Relationship Id="rId33" Type="http://schemas.openxmlformats.org/officeDocument/2006/relationships/hyperlink" Target="https://jira.jiduauto.com/browse/DPMS-8238" TargetMode="External"/><Relationship Id="rId38" Type="http://schemas.openxmlformats.org/officeDocument/2006/relationships/hyperlink" Target="https://jira.jiduauto.com/browse/DPMS-8244" TargetMode="External"/><Relationship Id="rId46" Type="http://schemas.openxmlformats.org/officeDocument/2006/relationships/hyperlink" Target="https://jira.jiduauto.com/browse/DPMS-8244" TargetMode="External"/><Relationship Id="rId59" Type="http://schemas.openxmlformats.org/officeDocument/2006/relationships/hyperlink" Target="https://jira.jiduauto.com/browse/DPMS-8238" TargetMode="External"/><Relationship Id="rId20" Type="http://schemas.openxmlformats.org/officeDocument/2006/relationships/hyperlink" Target="https://jira.jiduauto.com/browse/DPMS-8238" TargetMode="External"/><Relationship Id="rId41" Type="http://schemas.openxmlformats.org/officeDocument/2006/relationships/hyperlink" Target="https://jira.jiduauto.com/browse/DPMS-8244" TargetMode="External"/><Relationship Id="rId54" Type="http://schemas.openxmlformats.org/officeDocument/2006/relationships/hyperlink" Target="https://jira.jiduauto.com/browse/DPMS-8238" TargetMode="External"/><Relationship Id="rId62" Type="http://schemas.openxmlformats.org/officeDocument/2006/relationships/hyperlink" Target="https://jira.jiduauto.com/browse/DPMS-8238" TargetMode="External"/><Relationship Id="rId1" Type="http://schemas.openxmlformats.org/officeDocument/2006/relationships/hyperlink" Target="https://jira.jiduauto.com/browse/DPMS-8238" TargetMode="External"/><Relationship Id="rId6" Type="http://schemas.openxmlformats.org/officeDocument/2006/relationships/hyperlink" Target="https://jira.jiduauto.com/browse/DPMS-8238" TargetMode="External"/><Relationship Id="rId15" Type="http://schemas.openxmlformats.org/officeDocument/2006/relationships/hyperlink" Target="https://jira.jiduauto.com/browse/DPMS-8238" TargetMode="External"/><Relationship Id="rId23" Type="http://schemas.openxmlformats.org/officeDocument/2006/relationships/hyperlink" Target="https://jira.jiduauto.com/browse/DPMS-8238" TargetMode="External"/><Relationship Id="rId28" Type="http://schemas.openxmlformats.org/officeDocument/2006/relationships/hyperlink" Target="https://jira.jiduauto.com/browse/DPMS-8238" TargetMode="External"/><Relationship Id="rId36" Type="http://schemas.openxmlformats.org/officeDocument/2006/relationships/hyperlink" Target="https://jira.jiduauto.com/browse/DPMS-8244" TargetMode="External"/><Relationship Id="rId49" Type="http://schemas.openxmlformats.org/officeDocument/2006/relationships/hyperlink" Target="https://jira.jiduauto.com/browse/DPMS-8238" TargetMode="External"/><Relationship Id="rId57" Type="http://schemas.openxmlformats.org/officeDocument/2006/relationships/hyperlink" Target="https://jira.jiduauto.com/browse/DPMS-8238" TargetMode="External"/><Relationship Id="rId10" Type="http://schemas.openxmlformats.org/officeDocument/2006/relationships/hyperlink" Target="https://jira.jiduauto.com/browse/DPMS-8238" TargetMode="External"/><Relationship Id="rId31" Type="http://schemas.openxmlformats.org/officeDocument/2006/relationships/hyperlink" Target="https://jira.jiduauto.com/browse/DPMS-8238" TargetMode="External"/><Relationship Id="rId44" Type="http://schemas.openxmlformats.org/officeDocument/2006/relationships/hyperlink" Target="https://jira.jiduauto.com/browse/DPMS-8244" TargetMode="External"/><Relationship Id="rId52" Type="http://schemas.openxmlformats.org/officeDocument/2006/relationships/hyperlink" Target="https://jira.jiduauto.com/browse/DPMS-8238" TargetMode="External"/><Relationship Id="rId60" Type="http://schemas.openxmlformats.org/officeDocument/2006/relationships/hyperlink" Target="https://jira.jiduauto.com/browse/DPMS-8238" TargetMode="External"/><Relationship Id="rId4" Type="http://schemas.openxmlformats.org/officeDocument/2006/relationships/hyperlink" Target="https://jira.jiduauto.com/browse/DPMS-8238" TargetMode="External"/><Relationship Id="rId9" Type="http://schemas.openxmlformats.org/officeDocument/2006/relationships/hyperlink" Target="https://jira.jiduauto.com/browse/DPMS-8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A3" zoomScale="80" zoomScaleNormal="80" workbookViewId="0">
      <selection activeCell="A3" sqref="A3"/>
    </sheetView>
  </sheetViews>
  <sheetFormatPr defaultColWidth="9.08984375" defaultRowHeight="12.5" x14ac:dyDescent="0.25"/>
  <cols>
    <col min="1" max="1" width="27.90625" style="1" bestFit="1" customWidth="1"/>
    <col min="2" max="2" width="68.453125" style="1" bestFit="1" customWidth="1"/>
    <col min="3" max="3" width="23.453125" style="1" bestFit="1" customWidth="1"/>
    <col min="4" max="4" width="47.90625" style="1" customWidth="1"/>
    <col min="5" max="5" width="20" style="1" bestFit="1" customWidth="1"/>
    <col min="6" max="6" width="13.36328125" style="1" bestFit="1" customWidth="1"/>
    <col min="7" max="7" width="20.453125" style="1" customWidth="1"/>
    <col min="8" max="8" width="16.7265625" style="1" bestFit="1" customWidth="1"/>
    <col min="9" max="9" width="11.90625" style="1" bestFit="1" customWidth="1"/>
    <col min="10" max="11" width="23.453125" style="1" customWidth="1"/>
    <col min="12" max="12" width="12.90625" style="1" bestFit="1" customWidth="1"/>
    <col min="13" max="13" width="9.08984375" style="1" customWidth="1"/>
    <col min="14" max="16384" width="9.08984375" style="1"/>
  </cols>
  <sheetData>
    <row r="1" spans="1:12" s="71" customFormat="1" ht="13" customHeight="1" x14ac:dyDescent="0.3">
      <c r="A1" s="119" t="s">
        <v>0</v>
      </c>
      <c r="B1" s="71" t="s">
        <v>1</v>
      </c>
      <c r="C1" s="119" t="s">
        <v>2</v>
      </c>
      <c r="D1" s="119" t="s">
        <v>3</v>
      </c>
      <c r="E1" s="119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119" t="s">
        <v>9</v>
      </c>
      <c r="K1" s="119" t="s">
        <v>10</v>
      </c>
      <c r="L1" s="119" t="s">
        <v>11</v>
      </c>
    </row>
    <row r="2" spans="1:12" ht="53.5" customHeight="1" x14ac:dyDescent="0.25">
      <c r="A2" s="5" t="s">
        <v>12</v>
      </c>
      <c r="B2" s="3" t="s">
        <v>13</v>
      </c>
      <c r="C2" s="6" t="s">
        <v>14</v>
      </c>
      <c r="D2" s="4" t="s">
        <v>15</v>
      </c>
      <c r="E2" s="4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3" t="s">
        <v>21</v>
      </c>
      <c r="K2" s="3" t="s">
        <v>22</v>
      </c>
      <c r="L2" s="1" t="s">
        <v>23</v>
      </c>
    </row>
    <row r="3" spans="1:12" ht="66.650000000000006" customHeight="1" x14ac:dyDescent="0.25">
      <c r="A3" s="5" t="s">
        <v>24</v>
      </c>
      <c r="B3" s="3" t="s">
        <v>25</v>
      </c>
      <c r="C3" s="6" t="s">
        <v>14</v>
      </c>
      <c r="D3" s="4" t="s">
        <v>26</v>
      </c>
      <c r="E3" s="4" t="s">
        <v>27</v>
      </c>
      <c r="F3" s="1" t="s">
        <v>17</v>
      </c>
      <c r="G3" s="1" t="s">
        <v>18</v>
      </c>
      <c r="H3" s="1" t="s">
        <v>19</v>
      </c>
      <c r="I3" s="2" t="s">
        <v>20</v>
      </c>
      <c r="J3" s="3" t="s">
        <v>21</v>
      </c>
      <c r="K3" s="3" t="s">
        <v>22</v>
      </c>
      <c r="L3" s="1" t="s">
        <v>23</v>
      </c>
    </row>
    <row r="7" spans="1:12" ht="13" customHeight="1" x14ac:dyDescent="0.25">
      <c r="A7" s="7" t="s">
        <v>28</v>
      </c>
    </row>
    <row r="8" spans="1:12" ht="13" customHeight="1" x14ac:dyDescent="0.25">
      <c r="A8" s="3" t="s">
        <v>29</v>
      </c>
    </row>
    <row r="9" spans="1:12" ht="13" customHeight="1" x14ac:dyDescent="0.25">
      <c r="A9" s="8" t="s">
        <v>30</v>
      </c>
    </row>
    <row r="10" spans="1:12" ht="13" customHeight="1" x14ac:dyDescent="0.25">
      <c r="A10" s="3" t="s">
        <v>31</v>
      </c>
    </row>
    <row r="11" spans="1:12" ht="13" customHeight="1" x14ac:dyDescent="0.25">
      <c r="A11" s="3" t="s">
        <v>32</v>
      </c>
    </row>
    <row r="12" spans="1:12" ht="13" customHeight="1" x14ac:dyDescent="0.25">
      <c r="A12" s="3" t="s">
        <v>33</v>
      </c>
    </row>
    <row r="13" spans="1:12" ht="13" customHeight="1" x14ac:dyDescent="0.25">
      <c r="A13" s="3" t="s">
        <v>34</v>
      </c>
    </row>
    <row r="14" spans="1:12" ht="13" customHeight="1" x14ac:dyDescent="0.25">
      <c r="A14" s="3" t="s">
        <v>35</v>
      </c>
    </row>
    <row r="15" spans="1:12" ht="13" customHeight="1" x14ac:dyDescent="0.25">
      <c r="A15" s="3" t="s">
        <v>36</v>
      </c>
    </row>
    <row r="16" spans="1:12" ht="13" customHeight="1" x14ac:dyDescent="0.25">
      <c r="A16" s="3" t="s">
        <v>37</v>
      </c>
    </row>
    <row r="17" spans="1:1" ht="13" customHeight="1" x14ac:dyDescent="0.25">
      <c r="A17" s="3" t="s">
        <v>38</v>
      </c>
    </row>
    <row r="18" spans="1:1" ht="13" customHeight="1" x14ac:dyDescent="0.25">
      <c r="A18" s="3" t="s">
        <v>39</v>
      </c>
    </row>
    <row r="19" spans="1:1" ht="13" customHeight="1" x14ac:dyDescent="0.25">
      <c r="A19" s="3" t="s">
        <v>40</v>
      </c>
    </row>
    <row r="20" spans="1:1" ht="13" customHeight="1" x14ac:dyDescent="0.25">
      <c r="A20" s="3" t="s">
        <v>41</v>
      </c>
    </row>
  </sheetData>
  <phoneticPr fontId="1" type="noConversion"/>
  <conditionalFormatting sqref="F2">
    <cfRule type="cellIs" dxfId="239" priority="9" operator="equal">
      <formula>"Vehicle"</formula>
    </cfRule>
    <cfRule type="cellIs" dxfId="238" priority="10" operator="equal">
      <formula>"Bench"</formula>
    </cfRule>
  </conditionalFormatting>
  <conditionalFormatting sqref="F3">
    <cfRule type="cellIs" dxfId="237" priority="7" operator="equal">
      <formula>"Vehicle"</formula>
    </cfRule>
    <cfRule type="cellIs" dxfId="236" priority="8" operator="equal">
      <formula>"Bench"</formula>
    </cfRule>
  </conditionalFormatting>
  <conditionalFormatting sqref="H2">
    <cfRule type="cellIs" dxfId="235" priority="4" operator="equal">
      <formula>"P0"</formula>
    </cfRule>
    <cfRule type="cellIs" dxfId="234" priority="5" operator="equal">
      <formula>"P1"</formula>
    </cfRule>
    <cfRule type="cellIs" dxfId="233" priority="6" operator="equal">
      <formula>"P2"</formula>
    </cfRule>
  </conditionalFormatting>
  <conditionalFormatting sqref="H3">
    <cfRule type="cellIs" dxfId="232" priority="1" operator="equal">
      <formula>"P0"</formula>
    </cfRule>
    <cfRule type="cellIs" dxfId="231" priority="2" operator="equal">
      <formula>"P1"</formula>
    </cfRule>
    <cfRule type="cellIs" dxfId="230" priority="3" operator="equal">
      <formula>"P2"</formula>
    </cfRule>
  </conditionalFormatting>
  <dataValidations count="5">
    <dataValidation type="list" errorStyle="warning" allowBlank="1" showInputMessage="1" showErrorMessage="1" errorTitle="Error" error="Set a valid value" sqref="F2:F3" xr:uid="{00000000-0002-0000-0000-000000000000}">
      <formula1>LookupTypeRange256</formula1>
    </dataValidation>
    <dataValidation type="list" errorStyle="warning" allowBlank="1" showInputMessage="1" showErrorMessage="1" errorTitle="Error" error="Set a valid value" sqref="G2:G3" xr:uid="{00000000-0002-0000-0000-000001000000}">
      <formula1>LookupTypeRange257</formula1>
    </dataValidation>
    <dataValidation type="list" errorStyle="warning" allowBlank="1" showInputMessage="1" showErrorMessage="1" errorTitle="Error" error="Set a valid value" sqref="H2:H3" xr:uid="{00000000-0002-0000-0000-000002000000}">
      <formula1>LookupTypeRange263</formula1>
    </dataValidation>
    <dataValidation type="list" allowBlank="1" showInputMessage="1" showErrorMessage="1" sqref="L2:L3" xr:uid="{00000000-0002-0000-0000-000003000000}">
      <formula1>"Y, N"</formula1>
    </dataValidation>
    <dataValidation type="list" allowBlank="1" showInputMessage="1" showErrorMessage="1" sqref="K2:K3" xr:uid="{00000000-0002-0000-0000-000004000000}">
      <formula1>"smoke, sanity, full"</formula1>
    </dataValidation>
  </dataValidation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5"/>
  <sheetViews>
    <sheetView workbookViewId="0">
      <selection activeCell="J17" sqref="J17"/>
    </sheetView>
  </sheetViews>
  <sheetFormatPr defaultRowHeight="14" x14ac:dyDescent="0.25"/>
  <cols>
    <col min="2" max="2" width="16.36328125" style="17" bestFit="1" customWidth="1"/>
  </cols>
  <sheetData>
    <row r="2" spans="2:3" x14ac:dyDescent="0.25">
      <c r="B2" s="19" t="s">
        <v>42</v>
      </c>
      <c r="C2" s="19" t="s">
        <v>43</v>
      </c>
    </row>
    <row r="3" spans="2:3" x14ac:dyDescent="0.25">
      <c r="B3" s="78" t="s">
        <v>44</v>
      </c>
      <c r="C3" s="78">
        <f>COUNTIF(DoIP!C2:C9985, "&lt;&gt;")</f>
        <v>140</v>
      </c>
    </row>
    <row r="4" spans="2:3" x14ac:dyDescent="0.25">
      <c r="B4" s="78" t="s">
        <v>45</v>
      </c>
      <c r="C4" s="78">
        <f>COUNTIF(SoftwareUpdate!B2:B1996, "&lt;&gt;")</f>
        <v>10</v>
      </c>
    </row>
    <row r="5" spans="2:3" x14ac:dyDescent="0.25">
      <c r="B5" s="78" t="s">
        <v>46</v>
      </c>
      <c r="C5" s="78">
        <f>COUNTIF(EM!B2:B1992, "&lt;&gt;")</f>
        <v>6</v>
      </c>
    </row>
    <row r="6" spans="2:3" x14ac:dyDescent="0.25">
      <c r="B6" s="78" t="s">
        <v>47</v>
      </c>
      <c r="C6" s="78">
        <f>COUNTIF(新能源车监控RTM!C2:C232, "&lt;&gt;")</f>
        <v>231</v>
      </c>
    </row>
    <row r="7" spans="2:3" x14ac:dyDescent="0.25">
      <c r="B7" s="78" t="s">
        <v>48</v>
      </c>
      <c r="C7" s="78" t="e">
        <f>COUNTIF(#REF!, "&lt;&gt;")</f>
        <v>#REF!</v>
      </c>
    </row>
    <row r="8" spans="2:3" x14ac:dyDescent="0.25">
      <c r="B8" s="78" t="s">
        <v>49</v>
      </c>
      <c r="C8" s="78">
        <f>COUNTIF(以太网通信!B2:B1981, "&lt;&gt;")</f>
        <v>30</v>
      </c>
    </row>
    <row r="9" spans="2:3" x14ac:dyDescent="0.25">
      <c r="B9" s="78" t="s">
        <v>50</v>
      </c>
      <c r="C9" s="78">
        <f>COUNTIF(网络管理!C2:C2000, "&lt;&gt;")</f>
        <v>13</v>
      </c>
    </row>
    <row r="10" spans="2:3" x14ac:dyDescent="0.25">
      <c r="B10" s="78" t="s">
        <v>51</v>
      </c>
      <c r="C10" s="78">
        <f>COUNTIF(HAVP!C:C, "&lt;&gt;")</f>
        <v>98</v>
      </c>
    </row>
    <row r="11" spans="2:3" x14ac:dyDescent="0.25">
      <c r="B11" s="78" t="s">
        <v>52</v>
      </c>
      <c r="C11" s="78">
        <f>COUNTIF('远程车控（删除）'!A2:A1986, "&lt;&gt;")</f>
        <v>7</v>
      </c>
    </row>
    <row r="12" spans="2:3" x14ac:dyDescent="0.25">
      <c r="B12" s="78" t="s">
        <v>53</v>
      </c>
      <c r="C12" s="78">
        <f>COUNTIF(GNSS!B2:B1998, "&lt;&gt;")</f>
        <v>15</v>
      </c>
    </row>
    <row r="13" spans="2:3" x14ac:dyDescent="0.25">
      <c r="B13" s="78" t="s">
        <v>54</v>
      </c>
      <c r="C13" s="78">
        <f>COUNTIF(数字安全!B2:B1989, "&lt;&gt;")</f>
        <v>22</v>
      </c>
    </row>
    <row r="14" spans="2:3" x14ac:dyDescent="0.25">
      <c r="B14" s="78" t="s">
        <v>55</v>
      </c>
      <c r="C14" s="78">
        <f>COUNTIF(FOTA!C2:C2000, "&lt;&gt;")</f>
        <v>82</v>
      </c>
    </row>
    <row r="15" spans="2:3" x14ac:dyDescent="0.25">
      <c r="B15" s="19" t="s">
        <v>56</v>
      </c>
      <c r="C15" s="19" t="e">
        <f>SUM(C3:C14)</f>
        <v>#REF!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topLeftCell="D10" workbookViewId="0">
      <selection activeCell="F11" sqref="F11"/>
    </sheetView>
  </sheetViews>
  <sheetFormatPr defaultColWidth="8.7265625" defaultRowHeight="14" x14ac:dyDescent="0.25"/>
  <cols>
    <col min="1" max="1" width="38.6328125" style="38" customWidth="1"/>
    <col min="2" max="2" width="40.453125" style="32" customWidth="1"/>
    <col min="3" max="3" width="30.26953125" style="32" customWidth="1"/>
    <col min="4" max="4" width="29.36328125" style="32" customWidth="1"/>
    <col min="5" max="5" width="24.26953125" style="32" customWidth="1"/>
    <col min="6" max="6" width="38.26953125" style="32" customWidth="1"/>
    <col min="7" max="7" width="38.7265625" style="32" customWidth="1"/>
    <col min="8" max="9" width="8.7265625" style="32" customWidth="1"/>
    <col min="10" max="10" width="14" style="32" customWidth="1"/>
    <col min="11" max="11" width="26.90625" style="32" customWidth="1"/>
    <col min="12" max="13" width="13.7265625" style="32" customWidth="1"/>
    <col min="14" max="15" width="14.6328125" style="32" customWidth="1"/>
    <col min="16" max="16" width="8.7265625" style="32" customWidth="1"/>
    <col min="17" max="16384" width="8.7265625" style="32"/>
  </cols>
  <sheetData>
    <row r="1" spans="1:15" s="69" customFormat="1" ht="14.25" customHeight="1" x14ac:dyDescent="0.3">
      <c r="A1" s="96" t="s">
        <v>57</v>
      </c>
      <c r="B1" s="96" t="s">
        <v>58</v>
      </c>
      <c r="C1" s="73" t="s">
        <v>0</v>
      </c>
      <c r="D1" s="72" t="s">
        <v>1</v>
      </c>
      <c r="E1" s="73" t="s">
        <v>2</v>
      </c>
      <c r="F1" s="73" t="s">
        <v>59</v>
      </c>
      <c r="G1" s="73" t="s">
        <v>60</v>
      </c>
      <c r="H1" s="94" t="s">
        <v>61</v>
      </c>
      <c r="I1" s="95" t="s">
        <v>62</v>
      </c>
      <c r="J1" s="95" t="s">
        <v>63</v>
      </c>
      <c r="K1" s="95" t="s">
        <v>8</v>
      </c>
      <c r="L1" s="95" t="s">
        <v>64</v>
      </c>
      <c r="M1" s="95" t="s">
        <v>65</v>
      </c>
      <c r="N1" s="96" t="s">
        <v>11</v>
      </c>
      <c r="O1" s="97" t="s">
        <v>66</v>
      </c>
    </row>
    <row r="2" spans="1:15" ht="30.75" customHeight="1" x14ac:dyDescent="0.25">
      <c r="A2" s="31">
        <v>1198024</v>
      </c>
      <c r="B2" s="33" t="s">
        <v>67</v>
      </c>
      <c r="C2" s="98" t="s">
        <v>68</v>
      </c>
      <c r="D2" s="33" t="s">
        <v>69</v>
      </c>
      <c r="E2" s="34" t="s">
        <v>70</v>
      </c>
      <c r="F2" s="33" t="s">
        <v>71</v>
      </c>
      <c r="G2" s="33" t="s">
        <v>72</v>
      </c>
      <c r="H2" s="35" t="s">
        <v>17</v>
      </c>
      <c r="I2" s="98" t="s">
        <v>73</v>
      </c>
      <c r="J2" s="98" t="s">
        <v>19</v>
      </c>
      <c r="K2" s="98" t="s">
        <v>74</v>
      </c>
      <c r="L2" s="98" t="s">
        <v>75</v>
      </c>
      <c r="M2" s="39" t="s">
        <v>76</v>
      </c>
      <c r="N2" s="23" t="s">
        <v>77</v>
      </c>
      <c r="O2" s="33" t="s">
        <v>78</v>
      </c>
    </row>
    <row r="3" spans="1:15" ht="30.75" customHeight="1" x14ac:dyDescent="0.25">
      <c r="A3" s="31">
        <v>1198025</v>
      </c>
      <c r="B3" s="33" t="s">
        <v>67</v>
      </c>
      <c r="C3" s="98" t="s">
        <v>79</v>
      </c>
      <c r="D3" s="33" t="s">
        <v>80</v>
      </c>
      <c r="E3" s="34" t="s">
        <v>81</v>
      </c>
      <c r="F3" s="33" t="s">
        <v>71</v>
      </c>
      <c r="G3" s="33" t="s">
        <v>72</v>
      </c>
      <c r="H3" s="35" t="s">
        <v>17</v>
      </c>
      <c r="I3" s="98" t="s">
        <v>73</v>
      </c>
      <c r="J3" s="98" t="s">
        <v>19</v>
      </c>
      <c r="K3" s="98" t="s">
        <v>74</v>
      </c>
      <c r="L3" s="98" t="s">
        <v>75</v>
      </c>
      <c r="M3" s="39" t="s">
        <v>76</v>
      </c>
      <c r="N3" s="23" t="s">
        <v>77</v>
      </c>
      <c r="O3" s="33" t="s">
        <v>78</v>
      </c>
    </row>
    <row r="4" spans="1:15" ht="45.75" customHeight="1" x14ac:dyDescent="0.25">
      <c r="A4" s="31">
        <v>1198026</v>
      </c>
      <c r="B4" s="33" t="s">
        <v>67</v>
      </c>
      <c r="C4" s="98" t="s">
        <v>82</v>
      </c>
      <c r="D4" s="33" t="s">
        <v>83</v>
      </c>
      <c r="E4" s="34" t="s">
        <v>70</v>
      </c>
      <c r="F4" s="34" t="s">
        <v>84</v>
      </c>
      <c r="G4" s="34" t="s">
        <v>85</v>
      </c>
      <c r="H4" s="35" t="s">
        <v>17</v>
      </c>
      <c r="I4" s="98" t="s">
        <v>73</v>
      </c>
      <c r="J4" s="98" t="s">
        <v>19</v>
      </c>
      <c r="K4" s="98" t="s">
        <v>74</v>
      </c>
      <c r="L4" s="98" t="s">
        <v>75</v>
      </c>
      <c r="M4" s="39" t="s">
        <v>76</v>
      </c>
      <c r="N4" s="23" t="s">
        <v>77</v>
      </c>
      <c r="O4" s="33" t="s">
        <v>78</v>
      </c>
    </row>
    <row r="5" spans="1:15" ht="61.5" customHeight="1" x14ac:dyDescent="0.25">
      <c r="A5" s="31">
        <v>1198027</v>
      </c>
      <c r="B5" s="33" t="s">
        <v>67</v>
      </c>
      <c r="C5" s="98" t="s">
        <v>86</v>
      </c>
      <c r="D5" s="98" t="s">
        <v>87</v>
      </c>
      <c r="E5" s="34" t="s">
        <v>88</v>
      </c>
      <c r="F5" s="34" t="s">
        <v>89</v>
      </c>
      <c r="G5" s="34" t="s">
        <v>90</v>
      </c>
      <c r="H5" s="35" t="s">
        <v>17</v>
      </c>
      <c r="I5" s="98" t="s">
        <v>73</v>
      </c>
      <c r="J5" s="98" t="s">
        <v>19</v>
      </c>
      <c r="K5" s="98" t="s">
        <v>91</v>
      </c>
      <c r="L5" s="98" t="s">
        <v>75</v>
      </c>
      <c r="M5" s="39" t="s">
        <v>76</v>
      </c>
      <c r="N5" s="23" t="s">
        <v>77</v>
      </c>
      <c r="O5" s="33" t="s">
        <v>78</v>
      </c>
    </row>
    <row r="6" spans="1:15" ht="77.25" customHeight="1" x14ac:dyDescent="0.25">
      <c r="A6" s="31">
        <v>1198028</v>
      </c>
      <c r="B6" s="33" t="s">
        <v>67</v>
      </c>
      <c r="C6" s="98" t="s">
        <v>92</v>
      </c>
      <c r="D6" s="98" t="s">
        <v>93</v>
      </c>
      <c r="E6" s="34" t="s">
        <v>94</v>
      </c>
      <c r="F6" s="34" t="s">
        <v>89</v>
      </c>
      <c r="G6" s="34" t="s">
        <v>90</v>
      </c>
      <c r="H6" s="35" t="s">
        <v>17</v>
      </c>
      <c r="I6" s="98" t="s">
        <v>73</v>
      </c>
      <c r="J6" s="98" t="s">
        <v>19</v>
      </c>
      <c r="K6" s="98" t="s">
        <v>91</v>
      </c>
      <c r="L6" s="98" t="s">
        <v>75</v>
      </c>
      <c r="M6" s="39" t="s">
        <v>76</v>
      </c>
      <c r="N6" s="23" t="s">
        <v>77</v>
      </c>
      <c r="O6" s="33" t="s">
        <v>78</v>
      </c>
    </row>
    <row r="7" spans="1:15" ht="77.25" customHeight="1" x14ac:dyDescent="0.25">
      <c r="A7" s="31">
        <v>1198029</v>
      </c>
      <c r="B7" s="33" t="s">
        <v>67</v>
      </c>
      <c r="C7" s="98" t="s">
        <v>95</v>
      </c>
      <c r="D7" s="98" t="s">
        <v>96</v>
      </c>
      <c r="E7" s="34" t="s">
        <v>88</v>
      </c>
      <c r="F7" s="34" t="s">
        <v>97</v>
      </c>
      <c r="G7" s="34" t="s">
        <v>98</v>
      </c>
      <c r="H7" s="35" t="s">
        <v>17</v>
      </c>
      <c r="I7" s="98" t="s">
        <v>73</v>
      </c>
      <c r="J7" s="98" t="s">
        <v>19</v>
      </c>
      <c r="K7" s="98" t="s">
        <v>91</v>
      </c>
      <c r="L7" s="98" t="s">
        <v>75</v>
      </c>
      <c r="M7" s="39" t="s">
        <v>76</v>
      </c>
      <c r="N7" s="23" t="s">
        <v>77</v>
      </c>
      <c r="O7" s="33" t="s">
        <v>78</v>
      </c>
    </row>
    <row r="8" spans="1:15" ht="77.25" customHeight="1" x14ac:dyDescent="0.25">
      <c r="A8" s="31">
        <v>1198030</v>
      </c>
      <c r="B8" s="33" t="s">
        <v>67</v>
      </c>
      <c r="C8" s="98" t="s">
        <v>99</v>
      </c>
      <c r="D8" s="33" t="s">
        <v>100</v>
      </c>
      <c r="E8" s="34" t="s">
        <v>70</v>
      </c>
      <c r="F8" s="34" t="s">
        <v>2463</v>
      </c>
      <c r="G8" s="34" t="s">
        <v>102</v>
      </c>
      <c r="H8" s="35" t="s">
        <v>17</v>
      </c>
      <c r="I8" s="98" t="s">
        <v>73</v>
      </c>
      <c r="J8" s="98" t="s">
        <v>103</v>
      </c>
      <c r="K8" s="98" t="s">
        <v>74</v>
      </c>
      <c r="L8" s="98" t="s">
        <v>104</v>
      </c>
      <c r="M8" s="39" t="s">
        <v>22</v>
      </c>
      <c r="N8" s="23" t="s">
        <v>77</v>
      </c>
      <c r="O8" s="33" t="s">
        <v>78</v>
      </c>
    </row>
    <row r="9" spans="1:15" ht="77.25" customHeight="1" x14ac:dyDescent="0.25">
      <c r="A9" s="31">
        <v>1198031</v>
      </c>
      <c r="B9" s="33" t="s">
        <v>67</v>
      </c>
      <c r="C9" s="98" t="s">
        <v>105</v>
      </c>
      <c r="D9" s="33" t="s">
        <v>106</v>
      </c>
      <c r="E9" s="34" t="s">
        <v>70</v>
      </c>
      <c r="F9" s="34" t="s">
        <v>101</v>
      </c>
      <c r="G9" s="34" t="s">
        <v>107</v>
      </c>
      <c r="H9" s="35" t="s">
        <v>17</v>
      </c>
      <c r="I9" s="98" t="s">
        <v>73</v>
      </c>
      <c r="J9" s="98" t="s">
        <v>103</v>
      </c>
      <c r="K9" s="98" t="s">
        <v>74</v>
      </c>
      <c r="L9" s="98" t="s">
        <v>104</v>
      </c>
      <c r="M9" s="39" t="s">
        <v>22</v>
      </c>
      <c r="N9" s="23" t="s">
        <v>77</v>
      </c>
      <c r="O9" s="33" t="s">
        <v>78</v>
      </c>
    </row>
    <row r="10" spans="1:15" ht="66" customHeight="1" x14ac:dyDescent="0.25">
      <c r="A10" s="31">
        <v>1198032</v>
      </c>
      <c r="B10" s="33" t="s">
        <v>67</v>
      </c>
      <c r="C10" s="98" t="s">
        <v>108</v>
      </c>
      <c r="D10" s="33" t="s">
        <v>109</v>
      </c>
      <c r="E10" s="33" t="s">
        <v>110</v>
      </c>
      <c r="F10" s="34" t="s">
        <v>111</v>
      </c>
      <c r="G10" s="34" t="s">
        <v>112</v>
      </c>
      <c r="H10" s="35" t="s">
        <v>17</v>
      </c>
      <c r="I10" s="98" t="s">
        <v>73</v>
      </c>
      <c r="J10" s="98" t="s">
        <v>103</v>
      </c>
      <c r="K10" s="98" t="s">
        <v>74</v>
      </c>
      <c r="L10" s="98" t="s">
        <v>75</v>
      </c>
      <c r="M10" s="39" t="s">
        <v>113</v>
      </c>
      <c r="N10" s="23" t="s">
        <v>77</v>
      </c>
      <c r="O10" s="33" t="s">
        <v>78</v>
      </c>
    </row>
    <row r="11" spans="1:15" ht="127.5" customHeight="1" x14ac:dyDescent="0.25">
      <c r="A11" s="31">
        <v>1198033</v>
      </c>
      <c r="B11" s="33" t="s">
        <v>67</v>
      </c>
      <c r="C11" s="98" t="s">
        <v>114</v>
      </c>
      <c r="D11" s="33" t="s">
        <v>115</v>
      </c>
      <c r="E11" s="34" t="s">
        <v>116</v>
      </c>
      <c r="F11" s="34" t="s">
        <v>117</v>
      </c>
      <c r="G11" s="34" t="s">
        <v>118</v>
      </c>
      <c r="H11" s="35" t="s">
        <v>17</v>
      </c>
      <c r="I11" s="98" t="s">
        <v>73</v>
      </c>
      <c r="J11" s="98" t="s">
        <v>103</v>
      </c>
      <c r="K11" s="98" t="s">
        <v>91</v>
      </c>
      <c r="L11" s="98" t="s">
        <v>75</v>
      </c>
      <c r="M11" s="39" t="s">
        <v>22</v>
      </c>
      <c r="N11" s="23" t="s">
        <v>77</v>
      </c>
      <c r="O11" s="33" t="s">
        <v>78</v>
      </c>
    </row>
    <row r="12" spans="1:15" ht="30.75" customHeight="1" x14ac:dyDescent="0.25">
      <c r="A12" s="31">
        <v>1198034</v>
      </c>
      <c r="B12" s="33" t="s">
        <v>67</v>
      </c>
      <c r="C12" s="88" t="s">
        <v>119</v>
      </c>
      <c r="D12" s="88" t="s">
        <v>120</v>
      </c>
      <c r="E12" s="88" t="s">
        <v>121</v>
      </c>
      <c r="F12" s="99" t="s">
        <v>122</v>
      </c>
      <c r="G12" s="99" t="s">
        <v>123</v>
      </c>
      <c r="H12" s="99" t="s">
        <v>17</v>
      </c>
      <c r="I12" s="88" t="s">
        <v>73</v>
      </c>
      <c r="J12" s="88" t="s">
        <v>103</v>
      </c>
      <c r="K12" s="88" t="s">
        <v>91</v>
      </c>
      <c r="L12" s="88" t="s">
        <v>75</v>
      </c>
      <c r="M12" s="39" t="s">
        <v>22</v>
      </c>
      <c r="N12" s="23" t="s">
        <v>77</v>
      </c>
      <c r="O12" s="33" t="s">
        <v>78</v>
      </c>
    </row>
    <row r="13" spans="1:15" ht="30.75" customHeight="1" x14ac:dyDescent="0.25">
      <c r="A13" s="31">
        <v>1198035</v>
      </c>
      <c r="B13" s="33" t="s">
        <v>67</v>
      </c>
      <c r="C13" s="88" t="s">
        <v>124</v>
      </c>
      <c r="D13" s="88" t="s">
        <v>125</v>
      </c>
      <c r="E13" s="88" t="s">
        <v>126</v>
      </c>
      <c r="F13" s="99" t="s">
        <v>122</v>
      </c>
      <c r="G13" s="99" t="s">
        <v>127</v>
      </c>
      <c r="H13" s="99" t="s">
        <v>17</v>
      </c>
      <c r="I13" s="88" t="s">
        <v>73</v>
      </c>
      <c r="J13" s="88" t="s">
        <v>103</v>
      </c>
      <c r="K13" s="88" t="s">
        <v>91</v>
      </c>
      <c r="L13" s="88" t="s">
        <v>75</v>
      </c>
      <c r="M13" s="39" t="s">
        <v>22</v>
      </c>
      <c r="N13" s="23" t="s">
        <v>77</v>
      </c>
      <c r="O13" s="33" t="s">
        <v>78</v>
      </c>
    </row>
    <row r="14" spans="1:15" ht="42" x14ac:dyDescent="0.25">
      <c r="B14" s="33" t="s">
        <v>67</v>
      </c>
      <c r="C14" s="98" t="s">
        <v>128</v>
      </c>
      <c r="D14" s="33" t="s">
        <v>129</v>
      </c>
      <c r="E14" s="34" t="s">
        <v>70</v>
      </c>
      <c r="F14" s="34" t="s">
        <v>130</v>
      </c>
      <c r="G14" s="34" t="s">
        <v>131</v>
      </c>
      <c r="H14" s="35" t="s">
        <v>17</v>
      </c>
      <c r="I14" s="98" t="s">
        <v>73</v>
      </c>
      <c r="J14" s="98" t="s">
        <v>103</v>
      </c>
      <c r="K14" s="98" t="s">
        <v>74</v>
      </c>
      <c r="L14" s="98"/>
      <c r="M14" s="35" t="s">
        <v>17</v>
      </c>
      <c r="N14" s="23" t="s">
        <v>77</v>
      </c>
      <c r="O14" s="33" t="s">
        <v>78</v>
      </c>
    </row>
    <row r="15" spans="1:15" ht="28" x14ac:dyDescent="0.25">
      <c r="B15" s="33" t="s">
        <v>67</v>
      </c>
      <c r="C15" s="98" t="s">
        <v>132</v>
      </c>
      <c r="D15" s="33" t="s">
        <v>133</v>
      </c>
      <c r="E15" s="34" t="s">
        <v>70</v>
      </c>
      <c r="F15" s="32" t="s">
        <v>134</v>
      </c>
      <c r="G15" s="32" t="s">
        <v>135</v>
      </c>
      <c r="H15" s="35" t="s">
        <v>17</v>
      </c>
      <c r="I15" s="98" t="s">
        <v>73</v>
      </c>
      <c r="J15" s="98" t="s">
        <v>103</v>
      </c>
      <c r="K15" s="98" t="s">
        <v>74</v>
      </c>
      <c r="L15" s="98"/>
      <c r="M15" s="35" t="s">
        <v>17</v>
      </c>
      <c r="N15" s="23" t="s">
        <v>77</v>
      </c>
      <c r="O15" s="33" t="s">
        <v>78</v>
      </c>
    </row>
  </sheetData>
  <phoneticPr fontId="1" type="noConversion"/>
  <dataValidations count="2">
    <dataValidation type="list" allowBlank="1" showInputMessage="1" showErrorMessage="1" sqref="N2:N15 M2:M13" xr:uid="{00000000-0002-0000-0200-000000000000}">
      <formula1>"Y, N"</formula1>
    </dataValidation>
    <dataValidation type="list" allowBlank="1" showInputMessage="1" showErrorMessage="1" sqref="L2:L15" xr:uid="{00000000-0002-0000-0200-000001000000}">
      <formula1>"smoke, sanity, full"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topLeftCell="A5" workbookViewId="0">
      <selection activeCell="B12" sqref="B12"/>
    </sheetView>
  </sheetViews>
  <sheetFormatPr defaultColWidth="8.7265625" defaultRowHeight="14" x14ac:dyDescent="0.25"/>
  <cols>
    <col min="1" max="1" width="26" style="122" customWidth="1"/>
    <col min="2" max="2" width="26" style="15" bestFit="1" customWidth="1"/>
    <col min="3" max="3" width="47.453125" style="15" bestFit="1" customWidth="1"/>
    <col min="4" max="4" width="20.7265625" style="15" customWidth="1"/>
    <col min="5" max="5" width="46.6328125" style="15" customWidth="1"/>
    <col min="6" max="6" width="20.90625" style="15" customWidth="1"/>
    <col min="7" max="10" width="8.7265625" style="15" customWidth="1"/>
    <col min="11" max="11" width="13.6328125" style="15" customWidth="1"/>
    <col min="12" max="13" width="8.7265625" style="15" customWidth="1"/>
    <col min="14" max="14" width="17.08984375" style="15" customWidth="1"/>
    <col min="15" max="15" width="8.7265625" style="15" customWidth="1"/>
    <col min="16" max="16384" width="8.7265625" style="15"/>
  </cols>
  <sheetData>
    <row r="1" spans="1:15" s="67" customFormat="1" ht="14.25" customHeight="1" x14ac:dyDescent="0.3">
      <c r="A1" s="120" t="s">
        <v>57</v>
      </c>
      <c r="B1" s="120" t="s">
        <v>58</v>
      </c>
      <c r="C1" s="63" t="s">
        <v>0</v>
      </c>
      <c r="D1" s="96" t="s">
        <v>1</v>
      </c>
      <c r="E1" s="96" t="s">
        <v>2</v>
      </c>
      <c r="F1" s="96" t="s">
        <v>59</v>
      </c>
      <c r="G1" s="96" t="s">
        <v>60</v>
      </c>
      <c r="H1" s="94" t="s">
        <v>61</v>
      </c>
      <c r="I1" s="95" t="s">
        <v>62</v>
      </c>
      <c r="J1" s="95" t="s">
        <v>63</v>
      </c>
      <c r="K1" s="95" t="s">
        <v>8</v>
      </c>
      <c r="L1" s="95" t="s">
        <v>64</v>
      </c>
      <c r="M1" s="95" t="s">
        <v>65</v>
      </c>
      <c r="N1" s="96" t="s">
        <v>11</v>
      </c>
      <c r="O1" s="97" t="s">
        <v>66</v>
      </c>
    </row>
    <row r="2" spans="1:15" s="16" customFormat="1" ht="73.5" customHeight="1" x14ac:dyDescent="0.25">
      <c r="A2" s="30">
        <v>1198036</v>
      </c>
      <c r="B2" s="121" t="s">
        <v>136</v>
      </c>
      <c r="C2" s="101" t="s">
        <v>137</v>
      </c>
      <c r="D2" s="20" t="s">
        <v>138</v>
      </c>
      <c r="E2" s="21" t="s">
        <v>139</v>
      </c>
      <c r="F2" s="22" t="s">
        <v>140</v>
      </c>
      <c r="G2" s="22" t="s">
        <v>141</v>
      </c>
      <c r="H2" s="33" t="s">
        <v>17</v>
      </c>
      <c r="I2" s="33" t="s">
        <v>73</v>
      </c>
      <c r="J2" s="33" t="s">
        <v>19</v>
      </c>
      <c r="K2" s="33" t="s">
        <v>74</v>
      </c>
      <c r="L2" s="33"/>
      <c r="M2" s="33" t="s">
        <v>76</v>
      </c>
      <c r="N2" s="23" t="s">
        <v>23</v>
      </c>
      <c r="O2" s="33" t="s">
        <v>78</v>
      </c>
    </row>
    <row r="3" spans="1:15" ht="54.75" customHeight="1" x14ac:dyDescent="0.25">
      <c r="A3" s="30">
        <v>1198037</v>
      </c>
      <c r="B3" s="121" t="s">
        <v>136</v>
      </c>
      <c r="C3" s="102" t="s">
        <v>142</v>
      </c>
      <c r="D3" s="20" t="s">
        <v>143</v>
      </c>
      <c r="E3" s="21" t="s">
        <v>144</v>
      </c>
      <c r="F3" s="22" t="s">
        <v>145</v>
      </c>
      <c r="G3" s="22" t="s">
        <v>146</v>
      </c>
      <c r="H3" s="33" t="s">
        <v>17</v>
      </c>
      <c r="I3" s="33" t="s">
        <v>73</v>
      </c>
      <c r="J3" s="33" t="s">
        <v>19</v>
      </c>
      <c r="K3" s="33" t="s">
        <v>74</v>
      </c>
      <c r="L3" s="33"/>
      <c r="M3" s="33" t="s">
        <v>76</v>
      </c>
      <c r="N3" s="23" t="s">
        <v>23</v>
      </c>
      <c r="O3" s="33" t="s">
        <v>78</v>
      </c>
    </row>
    <row r="4" spans="1:15" ht="40.5" customHeight="1" x14ac:dyDescent="0.25">
      <c r="A4" s="30">
        <v>1198038</v>
      </c>
      <c r="B4" s="121" t="s">
        <v>136</v>
      </c>
      <c r="C4" s="102" t="s">
        <v>147</v>
      </c>
      <c r="D4" s="20" t="s">
        <v>148</v>
      </c>
      <c r="E4" s="21" t="s">
        <v>144</v>
      </c>
      <c r="F4" s="22" t="s">
        <v>149</v>
      </c>
      <c r="G4" s="22" t="s">
        <v>150</v>
      </c>
      <c r="H4" s="33" t="s">
        <v>17</v>
      </c>
      <c r="I4" s="33" t="s">
        <v>73</v>
      </c>
      <c r="J4" s="33" t="s">
        <v>19</v>
      </c>
      <c r="K4" s="33" t="s">
        <v>74</v>
      </c>
      <c r="L4" s="33"/>
      <c r="M4" s="33" t="s">
        <v>76</v>
      </c>
      <c r="N4" s="23" t="s">
        <v>23</v>
      </c>
      <c r="O4" s="33" t="s">
        <v>78</v>
      </c>
    </row>
    <row r="5" spans="1:15" ht="123" customHeight="1" x14ac:dyDescent="0.25">
      <c r="A5" s="30">
        <v>1198039</v>
      </c>
      <c r="B5" s="121" t="s">
        <v>136</v>
      </c>
      <c r="C5" s="103" t="s">
        <v>151</v>
      </c>
      <c r="D5" s="88" t="s">
        <v>152</v>
      </c>
      <c r="E5" s="88" t="s">
        <v>144</v>
      </c>
      <c r="F5" s="88" t="s">
        <v>153</v>
      </c>
      <c r="G5" s="99" t="s">
        <v>154</v>
      </c>
      <c r="H5" s="88" t="s">
        <v>17</v>
      </c>
      <c r="I5" s="88" t="s">
        <v>73</v>
      </c>
      <c r="J5" s="88" t="s">
        <v>103</v>
      </c>
      <c r="K5" s="88" t="s">
        <v>74</v>
      </c>
      <c r="L5" s="100"/>
      <c r="M5" s="33" t="s">
        <v>22</v>
      </c>
      <c r="N5" s="23" t="s">
        <v>77</v>
      </c>
      <c r="O5" s="33" t="s">
        <v>78</v>
      </c>
    </row>
    <row r="6" spans="1:15" ht="169.5" customHeight="1" x14ac:dyDescent="0.25">
      <c r="A6" s="30">
        <v>1198040</v>
      </c>
      <c r="B6" s="121" t="s">
        <v>136</v>
      </c>
      <c r="C6" s="104" t="s">
        <v>155</v>
      </c>
      <c r="D6" s="88" t="s">
        <v>156</v>
      </c>
      <c r="E6" s="88" t="s">
        <v>144</v>
      </c>
      <c r="F6" s="88" t="s">
        <v>157</v>
      </c>
      <c r="G6" s="99" t="s">
        <v>158</v>
      </c>
      <c r="H6" s="88" t="s">
        <v>17</v>
      </c>
      <c r="I6" s="88" t="s">
        <v>73</v>
      </c>
      <c r="J6" s="88" t="s">
        <v>103</v>
      </c>
      <c r="K6" s="88" t="s">
        <v>74</v>
      </c>
      <c r="L6" s="100"/>
      <c r="M6" s="33" t="s">
        <v>22</v>
      </c>
      <c r="N6" s="23" t="s">
        <v>77</v>
      </c>
      <c r="O6" s="33" t="s">
        <v>78</v>
      </c>
    </row>
    <row r="7" spans="1:15" ht="108" customHeight="1" x14ac:dyDescent="0.25">
      <c r="A7" s="30">
        <v>1198041</v>
      </c>
      <c r="B7" s="121" t="s">
        <v>136</v>
      </c>
      <c r="C7" s="104" t="s">
        <v>159</v>
      </c>
      <c r="D7" s="88" t="s">
        <v>160</v>
      </c>
      <c r="E7" s="99" t="s">
        <v>161</v>
      </c>
      <c r="F7" s="88" t="s">
        <v>162</v>
      </c>
      <c r="G7" s="99" t="s">
        <v>163</v>
      </c>
      <c r="H7" s="88" t="s">
        <v>17</v>
      </c>
      <c r="I7" s="88" t="s">
        <v>73</v>
      </c>
      <c r="J7" s="88" t="s">
        <v>103</v>
      </c>
      <c r="K7" s="88" t="s">
        <v>74</v>
      </c>
      <c r="L7" s="100"/>
      <c r="M7" s="33" t="s">
        <v>22</v>
      </c>
      <c r="N7" s="23" t="s">
        <v>77</v>
      </c>
      <c r="O7" s="33" t="s">
        <v>78</v>
      </c>
    </row>
    <row r="8" spans="1:15" ht="13.5" customHeight="1" x14ac:dyDescent="0.25"/>
  </sheetData>
  <phoneticPr fontId="1" type="noConversion"/>
  <dataValidations count="2">
    <dataValidation type="list" allowBlank="1" showInputMessage="1" showErrorMessage="1" sqref="M2:N7" xr:uid="{00000000-0002-0000-0300-000000000000}">
      <formula1>"Y, N"</formula1>
    </dataValidation>
    <dataValidation type="list" allowBlank="1" showInputMessage="1" showErrorMessage="1" sqref="L2:L7" xr:uid="{00000000-0002-0000-0300-000001000000}">
      <formula1>"smoke, sanity, full"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4"/>
  <sheetViews>
    <sheetView workbookViewId="0">
      <selection activeCell="M31" sqref="M31"/>
    </sheetView>
  </sheetViews>
  <sheetFormatPr defaultRowHeight="14" x14ac:dyDescent="0.25"/>
  <cols>
    <col min="1" max="1" width="34.7265625" style="31" customWidth="1"/>
    <col min="2" max="2" width="43.90625" style="17" customWidth="1"/>
    <col min="3" max="3" width="29.453125" style="17" customWidth="1"/>
    <col min="4" max="4" width="22.7265625" style="17" customWidth="1"/>
    <col min="5" max="5" width="28" style="17" customWidth="1"/>
    <col min="6" max="6" width="27.7265625" style="17" customWidth="1"/>
    <col min="11" max="11" width="12.36328125" style="17" customWidth="1"/>
  </cols>
  <sheetData>
    <row r="1" spans="1:15" s="69" customFormat="1" ht="14.25" customHeight="1" x14ac:dyDescent="0.3">
      <c r="A1" s="96" t="s">
        <v>57</v>
      </c>
      <c r="B1" s="96" t="s">
        <v>58</v>
      </c>
      <c r="C1" s="71" t="s">
        <v>0</v>
      </c>
      <c r="D1" s="72" t="s">
        <v>1</v>
      </c>
      <c r="E1" s="73" t="s">
        <v>2</v>
      </c>
      <c r="F1" s="73" t="s">
        <v>59</v>
      </c>
      <c r="G1" s="73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3" t="s">
        <v>11</v>
      </c>
      <c r="O1" s="66" t="s">
        <v>66</v>
      </c>
    </row>
    <row r="2" spans="1:15" ht="45.75" customHeight="1" x14ac:dyDescent="0.25">
      <c r="A2" s="31">
        <v>1198072</v>
      </c>
      <c r="B2" s="33" t="s">
        <v>164</v>
      </c>
      <c r="C2" s="114" t="s">
        <v>165</v>
      </c>
      <c r="D2" s="88" t="s">
        <v>166</v>
      </c>
      <c r="E2" s="89" t="s">
        <v>110</v>
      </c>
      <c r="F2" s="89" t="s">
        <v>167</v>
      </c>
      <c r="G2" s="89" t="s">
        <v>168</v>
      </c>
      <c r="H2" s="89" t="s">
        <v>17</v>
      </c>
      <c r="I2" s="90" t="s">
        <v>73</v>
      </c>
      <c r="J2" s="90" t="s">
        <v>19</v>
      </c>
      <c r="K2" s="90" t="s">
        <v>74</v>
      </c>
      <c r="L2" s="98" t="s">
        <v>169</v>
      </c>
      <c r="M2" s="33" t="s">
        <v>76</v>
      </c>
      <c r="N2" s="23" t="s">
        <v>77</v>
      </c>
      <c r="O2" s="33" t="s">
        <v>78</v>
      </c>
    </row>
    <row r="3" spans="1:15" ht="61.5" customHeight="1" x14ac:dyDescent="0.25">
      <c r="A3" s="31">
        <v>1198073</v>
      </c>
      <c r="B3" s="33" t="s">
        <v>164</v>
      </c>
      <c r="C3" s="115" t="s">
        <v>170</v>
      </c>
      <c r="D3" s="91" t="s">
        <v>171</v>
      </c>
      <c r="E3" s="92" t="s">
        <v>110</v>
      </c>
      <c r="F3" s="92" t="s">
        <v>172</v>
      </c>
      <c r="G3" s="92" t="s">
        <v>173</v>
      </c>
      <c r="H3" s="92" t="s">
        <v>17</v>
      </c>
      <c r="I3" s="93" t="s">
        <v>73</v>
      </c>
      <c r="J3" s="93" t="s">
        <v>103</v>
      </c>
      <c r="K3" s="93" t="s">
        <v>74</v>
      </c>
      <c r="L3" s="98" t="s">
        <v>174</v>
      </c>
      <c r="M3" s="33" t="s">
        <v>22</v>
      </c>
      <c r="N3" s="23" t="s">
        <v>77</v>
      </c>
      <c r="O3" s="33" t="s">
        <v>78</v>
      </c>
    </row>
    <row r="4" spans="1:15" ht="61.5" customHeight="1" x14ac:dyDescent="0.25">
      <c r="A4" s="31">
        <v>1198074</v>
      </c>
      <c r="B4" s="33" t="s">
        <v>164</v>
      </c>
      <c r="C4" s="115" t="s">
        <v>175</v>
      </c>
      <c r="D4" s="91" t="s">
        <v>176</v>
      </c>
      <c r="E4" s="92" t="s">
        <v>110</v>
      </c>
      <c r="F4" s="92" t="s">
        <v>177</v>
      </c>
      <c r="G4" s="92" t="s">
        <v>178</v>
      </c>
      <c r="H4" s="92" t="s">
        <v>17</v>
      </c>
      <c r="I4" s="93" t="s">
        <v>73</v>
      </c>
      <c r="J4" s="93" t="s">
        <v>19</v>
      </c>
      <c r="K4" s="93" t="s">
        <v>74</v>
      </c>
      <c r="L4" s="98" t="s">
        <v>174</v>
      </c>
      <c r="M4" s="33" t="s">
        <v>76</v>
      </c>
      <c r="N4" s="23" t="s">
        <v>77</v>
      </c>
      <c r="O4" s="33" t="s">
        <v>78</v>
      </c>
    </row>
    <row r="5" spans="1:15" ht="61.5" customHeight="1" x14ac:dyDescent="0.25">
      <c r="A5" s="31">
        <v>1198075</v>
      </c>
      <c r="B5" s="33" t="s">
        <v>164</v>
      </c>
      <c r="C5" s="115" t="s">
        <v>179</v>
      </c>
      <c r="D5" s="91" t="s">
        <v>180</v>
      </c>
      <c r="E5" s="92" t="s">
        <v>110</v>
      </c>
      <c r="F5" s="92" t="s">
        <v>181</v>
      </c>
      <c r="G5" s="92" t="s">
        <v>182</v>
      </c>
      <c r="H5" s="92" t="s">
        <v>17</v>
      </c>
      <c r="I5" s="93" t="s">
        <v>73</v>
      </c>
      <c r="J5" s="93" t="s">
        <v>19</v>
      </c>
      <c r="K5" s="93" t="s">
        <v>74</v>
      </c>
      <c r="L5" s="98" t="s">
        <v>174</v>
      </c>
      <c r="M5" s="33" t="s">
        <v>76</v>
      </c>
      <c r="N5" s="23" t="s">
        <v>77</v>
      </c>
      <c r="O5" s="33" t="s">
        <v>78</v>
      </c>
    </row>
    <row r="6" spans="1:15" ht="61.5" customHeight="1" x14ac:dyDescent="0.25">
      <c r="A6" s="31">
        <v>1198076</v>
      </c>
      <c r="B6" s="33" t="s">
        <v>164</v>
      </c>
      <c r="C6" s="115" t="s">
        <v>183</v>
      </c>
      <c r="D6" s="91" t="s">
        <v>184</v>
      </c>
      <c r="E6" s="92" t="s">
        <v>110</v>
      </c>
      <c r="F6" s="92" t="s">
        <v>185</v>
      </c>
      <c r="G6" s="92" t="s">
        <v>186</v>
      </c>
      <c r="H6" s="92" t="s">
        <v>17</v>
      </c>
      <c r="I6" s="93" t="s">
        <v>73</v>
      </c>
      <c r="J6" s="93" t="s">
        <v>19</v>
      </c>
      <c r="K6" s="93" t="s">
        <v>74</v>
      </c>
      <c r="L6" s="98" t="s">
        <v>174</v>
      </c>
      <c r="M6" s="33" t="s">
        <v>76</v>
      </c>
      <c r="N6" s="23" t="s">
        <v>77</v>
      </c>
      <c r="O6" s="33" t="s">
        <v>78</v>
      </c>
    </row>
    <row r="7" spans="1:15" ht="77.25" customHeight="1" x14ac:dyDescent="0.25">
      <c r="A7" s="31">
        <v>1198077</v>
      </c>
      <c r="B7" s="33" t="s">
        <v>164</v>
      </c>
      <c r="C7" s="115" t="s">
        <v>187</v>
      </c>
      <c r="D7" s="91" t="s">
        <v>188</v>
      </c>
      <c r="E7" s="92" t="s">
        <v>110</v>
      </c>
      <c r="F7" s="92" t="s">
        <v>189</v>
      </c>
      <c r="G7" s="92" t="s">
        <v>190</v>
      </c>
      <c r="H7" s="92" t="s">
        <v>17</v>
      </c>
      <c r="I7" s="93" t="s">
        <v>73</v>
      </c>
      <c r="J7" s="93" t="s">
        <v>19</v>
      </c>
      <c r="K7" s="93" t="s">
        <v>74</v>
      </c>
      <c r="L7" s="98" t="s">
        <v>174</v>
      </c>
      <c r="M7" s="33" t="s">
        <v>76</v>
      </c>
      <c r="N7" s="23" t="s">
        <v>77</v>
      </c>
      <c r="O7" s="33" t="s">
        <v>78</v>
      </c>
    </row>
    <row r="8" spans="1:15" ht="61.5" customHeight="1" x14ac:dyDescent="0.25">
      <c r="A8" s="31">
        <v>1198078</v>
      </c>
      <c r="B8" s="33" t="s">
        <v>164</v>
      </c>
      <c r="C8" s="115" t="s">
        <v>191</v>
      </c>
      <c r="D8" s="91" t="s">
        <v>192</v>
      </c>
      <c r="E8" s="92" t="s">
        <v>110</v>
      </c>
      <c r="F8" s="92" t="s">
        <v>193</v>
      </c>
      <c r="G8" s="92" t="s">
        <v>194</v>
      </c>
      <c r="H8" s="92" t="s">
        <v>17</v>
      </c>
      <c r="I8" s="93" t="s">
        <v>73</v>
      </c>
      <c r="J8" s="93" t="s">
        <v>103</v>
      </c>
      <c r="K8" s="93" t="s">
        <v>74</v>
      </c>
      <c r="L8" s="98" t="s">
        <v>174</v>
      </c>
      <c r="M8" s="33" t="s">
        <v>22</v>
      </c>
      <c r="N8" s="23" t="s">
        <v>77</v>
      </c>
      <c r="O8" s="33" t="s">
        <v>78</v>
      </c>
    </row>
    <row r="9" spans="1:15" ht="61.5" customHeight="1" x14ac:dyDescent="0.25">
      <c r="A9" s="31">
        <v>1198079</v>
      </c>
      <c r="B9" s="33" t="s">
        <v>164</v>
      </c>
      <c r="C9" s="115" t="s">
        <v>195</v>
      </c>
      <c r="D9" s="91" t="s">
        <v>196</v>
      </c>
      <c r="E9" s="92" t="s">
        <v>110</v>
      </c>
      <c r="F9" s="92" t="s">
        <v>197</v>
      </c>
      <c r="G9" s="92" t="s">
        <v>198</v>
      </c>
      <c r="H9" s="92" t="s">
        <v>17</v>
      </c>
      <c r="I9" s="93" t="s">
        <v>73</v>
      </c>
      <c r="J9" s="93" t="s">
        <v>103</v>
      </c>
      <c r="K9" s="93" t="s">
        <v>74</v>
      </c>
      <c r="L9" s="98" t="s">
        <v>174</v>
      </c>
      <c r="M9" s="33" t="s">
        <v>22</v>
      </c>
      <c r="N9" s="23" t="s">
        <v>77</v>
      </c>
      <c r="O9" s="33" t="s">
        <v>78</v>
      </c>
    </row>
    <row r="10" spans="1:15" ht="61.5" customHeight="1" x14ac:dyDescent="0.25">
      <c r="A10" s="31">
        <v>1198081</v>
      </c>
      <c r="B10" s="33" t="s">
        <v>164</v>
      </c>
      <c r="C10" s="115" t="s">
        <v>199</v>
      </c>
      <c r="D10" s="91" t="s">
        <v>200</v>
      </c>
      <c r="E10" s="92" t="s">
        <v>110</v>
      </c>
      <c r="F10" s="92" t="s">
        <v>201</v>
      </c>
      <c r="G10" s="92" t="s">
        <v>202</v>
      </c>
      <c r="H10" s="92" t="s">
        <v>17</v>
      </c>
      <c r="I10" s="93" t="s">
        <v>73</v>
      </c>
      <c r="J10" s="93" t="s">
        <v>103</v>
      </c>
      <c r="K10" s="93" t="s">
        <v>74</v>
      </c>
      <c r="L10" s="98" t="s">
        <v>174</v>
      </c>
      <c r="M10" s="33" t="s">
        <v>22</v>
      </c>
      <c r="N10" s="23" t="s">
        <v>77</v>
      </c>
      <c r="O10" s="33" t="s">
        <v>78</v>
      </c>
    </row>
    <row r="11" spans="1:15" ht="61.5" customHeight="1" x14ac:dyDescent="0.25">
      <c r="A11" s="31">
        <v>1198082</v>
      </c>
      <c r="B11" s="33" t="s">
        <v>164</v>
      </c>
      <c r="C11" s="115" t="s">
        <v>203</v>
      </c>
      <c r="D11" s="91" t="s">
        <v>204</v>
      </c>
      <c r="E11" s="92" t="s">
        <v>110</v>
      </c>
      <c r="F11" s="92" t="s">
        <v>205</v>
      </c>
      <c r="G11" s="92" t="s">
        <v>206</v>
      </c>
      <c r="H11" s="92" t="s">
        <v>17</v>
      </c>
      <c r="I11" s="93" t="s">
        <v>73</v>
      </c>
      <c r="J11" s="93" t="s">
        <v>103</v>
      </c>
      <c r="K11" s="93" t="s">
        <v>74</v>
      </c>
      <c r="L11" s="98" t="s">
        <v>174</v>
      </c>
      <c r="M11" s="33" t="s">
        <v>22</v>
      </c>
      <c r="N11" s="23" t="s">
        <v>77</v>
      </c>
      <c r="O11" s="33" t="s">
        <v>78</v>
      </c>
    </row>
    <row r="12" spans="1:15" ht="77.25" customHeight="1" x14ac:dyDescent="0.25">
      <c r="A12" s="31">
        <v>1198083</v>
      </c>
      <c r="B12" s="33" t="s">
        <v>164</v>
      </c>
      <c r="C12" s="115" t="s">
        <v>207</v>
      </c>
      <c r="D12" s="91" t="s">
        <v>208</v>
      </c>
      <c r="E12" s="92" t="s">
        <v>110</v>
      </c>
      <c r="F12" s="92" t="s">
        <v>209</v>
      </c>
      <c r="G12" s="92" t="s">
        <v>210</v>
      </c>
      <c r="H12" s="92" t="s">
        <v>17</v>
      </c>
      <c r="I12" s="93" t="s">
        <v>73</v>
      </c>
      <c r="J12" s="93" t="s">
        <v>19</v>
      </c>
      <c r="K12" s="93" t="s">
        <v>74</v>
      </c>
      <c r="L12" s="98" t="s">
        <v>211</v>
      </c>
      <c r="M12" s="33" t="s">
        <v>76</v>
      </c>
      <c r="N12" s="23" t="s">
        <v>77</v>
      </c>
      <c r="O12" s="33" t="s">
        <v>78</v>
      </c>
    </row>
    <row r="13" spans="1:15" ht="93" customHeight="1" x14ac:dyDescent="0.25">
      <c r="A13" s="31">
        <v>1198084</v>
      </c>
      <c r="B13" s="33" t="s">
        <v>164</v>
      </c>
      <c r="C13" s="115" t="s">
        <v>212</v>
      </c>
      <c r="D13" s="91" t="s">
        <v>213</v>
      </c>
      <c r="E13" s="92" t="s">
        <v>110</v>
      </c>
      <c r="F13" s="92" t="s">
        <v>214</v>
      </c>
      <c r="G13" s="92" t="s">
        <v>215</v>
      </c>
      <c r="H13" s="92" t="s">
        <v>17</v>
      </c>
      <c r="I13" s="93" t="s">
        <v>73</v>
      </c>
      <c r="J13" s="93" t="s">
        <v>103</v>
      </c>
      <c r="K13" s="93" t="s">
        <v>74</v>
      </c>
      <c r="L13" s="98" t="s">
        <v>216</v>
      </c>
      <c r="M13" s="33" t="s">
        <v>113</v>
      </c>
      <c r="N13" s="23" t="s">
        <v>77</v>
      </c>
      <c r="O13" s="33" t="s">
        <v>78</v>
      </c>
    </row>
    <row r="14" spans="1:15" ht="45.75" customHeight="1" x14ac:dyDescent="0.25">
      <c r="A14" s="31">
        <v>1198085</v>
      </c>
      <c r="B14" s="33" t="s">
        <v>164</v>
      </c>
      <c r="C14" s="115" t="s">
        <v>217</v>
      </c>
      <c r="D14" s="91" t="s">
        <v>218</v>
      </c>
      <c r="E14" s="92" t="s">
        <v>110</v>
      </c>
      <c r="F14" s="92" t="s">
        <v>219</v>
      </c>
      <c r="G14" s="92" t="s">
        <v>220</v>
      </c>
      <c r="H14" s="92" t="s">
        <v>17</v>
      </c>
      <c r="I14" s="93" t="s">
        <v>73</v>
      </c>
      <c r="J14" s="93" t="s">
        <v>103</v>
      </c>
      <c r="K14" s="93" t="s">
        <v>74</v>
      </c>
      <c r="L14" s="98" t="s">
        <v>221</v>
      </c>
      <c r="M14" s="33" t="s">
        <v>113</v>
      </c>
      <c r="N14" s="23" t="s">
        <v>77</v>
      </c>
      <c r="O14" s="33" t="s">
        <v>78</v>
      </c>
    </row>
    <row r="15" spans="1:15" ht="61.5" customHeight="1" x14ac:dyDescent="0.25">
      <c r="A15" s="31">
        <v>1198086</v>
      </c>
      <c r="B15" s="33" t="s">
        <v>164</v>
      </c>
      <c r="C15" s="115" t="s">
        <v>222</v>
      </c>
      <c r="D15" s="91" t="s">
        <v>223</v>
      </c>
      <c r="E15" s="92" t="s">
        <v>224</v>
      </c>
      <c r="F15" s="92" t="s">
        <v>225</v>
      </c>
      <c r="G15" s="92" t="s">
        <v>226</v>
      </c>
      <c r="H15" s="92" t="s">
        <v>17</v>
      </c>
      <c r="I15" s="93" t="s">
        <v>73</v>
      </c>
      <c r="J15" s="93" t="s">
        <v>103</v>
      </c>
      <c r="K15" s="93" t="s">
        <v>227</v>
      </c>
      <c r="L15" s="98" t="s">
        <v>216</v>
      </c>
      <c r="M15" s="33" t="s">
        <v>113</v>
      </c>
      <c r="N15" s="23" t="s">
        <v>77</v>
      </c>
      <c r="O15" s="33" t="s">
        <v>78</v>
      </c>
    </row>
    <row r="16" spans="1:15" ht="30.75" customHeight="1" x14ac:dyDescent="0.25">
      <c r="A16" s="31">
        <v>1198087</v>
      </c>
      <c r="B16" s="33" t="s">
        <v>164</v>
      </c>
      <c r="C16" s="115" t="s">
        <v>228</v>
      </c>
      <c r="D16" s="91" t="s">
        <v>229</v>
      </c>
      <c r="E16" s="92" t="s">
        <v>230</v>
      </c>
      <c r="F16" s="92" t="s">
        <v>231</v>
      </c>
      <c r="G16" s="92" t="s">
        <v>232</v>
      </c>
      <c r="H16" s="92" t="s">
        <v>17</v>
      </c>
      <c r="I16" s="93" t="s">
        <v>73</v>
      </c>
      <c r="J16" s="93" t="s">
        <v>19</v>
      </c>
      <c r="K16" s="93" t="s">
        <v>227</v>
      </c>
      <c r="L16" s="98" t="s">
        <v>233</v>
      </c>
      <c r="M16" s="33" t="s">
        <v>76</v>
      </c>
      <c r="N16" s="23" t="s">
        <v>77</v>
      </c>
      <c r="O16" s="33" t="s">
        <v>78</v>
      </c>
    </row>
    <row r="17" spans="1:15" ht="61.5" customHeight="1" x14ac:dyDescent="0.25">
      <c r="A17" s="31">
        <v>1198088</v>
      </c>
      <c r="B17" s="33" t="s">
        <v>164</v>
      </c>
      <c r="C17" s="115" t="s">
        <v>234</v>
      </c>
      <c r="D17" s="91" t="s">
        <v>235</v>
      </c>
      <c r="E17" s="92" t="s">
        <v>110</v>
      </c>
      <c r="F17" s="92" t="s">
        <v>236</v>
      </c>
      <c r="G17" s="92" t="s">
        <v>237</v>
      </c>
      <c r="H17" s="92" t="s">
        <v>17</v>
      </c>
      <c r="I17" s="93" t="s">
        <v>73</v>
      </c>
      <c r="J17" s="93" t="s">
        <v>103</v>
      </c>
      <c r="K17" s="93" t="s">
        <v>74</v>
      </c>
      <c r="L17" s="98" t="s">
        <v>238</v>
      </c>
      <c r="M17" s="33" t="s">
        <v>22</v>
      </c>
      <c r="N17" s="23" t="s">
        <v>77</v>
      </c>
      <c r="O17" s="33" t="s">
        <v>78</v>
      </c>
    </row>
    <row r="18" spans="1:15" ht="61.5" customHeight="1" x14ac:dyDescent="0.25">
      <c r="A18" s="31">
        <v>1198089</v>
      </c>
      <c r="B18" s="33" t="s">
        <v>164</v>
      </c>
      <c r="C18" s="115" t="s">
        <v>239</v>
      </c>
      <c r="D18" s="91" t="s">
        <v>240</v>
      </c>
      <c r="E18" s="92" t="s">
        <v>110</v>
      </c>
      <c r="F18" s="92" t="s">
        <v>241</v>
      </c>
      <c r="G18" s="92" t="s">
        <v>242</v>
      </c>
      <c r="H18" s="92" t="s">
        <v>17</v>
      </c>
      <c r="I18" s="93" t="s">
        <v>73</v>
      </c>
      <c r="J18" s="93" t="s">
        <v>103</v>
      </c>
      <c r="K18" s="93" t="s">
        <v>74</v>
      </c>
      <c r="L18" s="98" t="s">
        <v>238</v>
      </c>
      <c r="M18" s="33" t="s">
        <v>22</v>
      </c>
      <c r="N18" s="23" t="s">
        <v>77</v>
      </c>
      <c r="O18" s="33" t="s">
        <v>78</v>
      </c>
    </row>
    <row r="19" spans="1:15" ht="61.5" customHeight="1" x14ac:dyDescent="0.25">
      <c r="A19" s="131">
        <v>1198090</v>
      </c>
      <c r="B19" s="33" t="s">
        <v>164</v>
      </c>
      <c r="C19" s="81" t="s">
        <v>243</v>
      </c>
      <c r="D19" s="91" t="s">
        <v>244</v>
      </c>
      <c r="E19" s="92" t="s">
        <v>245</v>
      </c>
      <c r="F19" s="92" t="s">
        <v>246</v>
      </c>
      <c r="G19" s="92" t="s">
        <v>247</v>
      </c>
      <c r="H19" s="92" t="s">
        <v>17</v>
      </c>
      <c r="I19" s="93" t="s">
        <v>73</v>
      </c>
      <c r="J19" s="93" t="s">
        <v>19</v>
      </c>
      <c r="K19" s="93" t="s">
        <v>74</v>
      </c>
      <c r="L19" s="98" t="s">
        <v>248</v>
      </c>
      <c r="M19" s="33" t="s">
        <v>76</v>
      </c>
      <c r="N19" s="23" t="s">
        <v>77</v>
      </c>
      <c r="O19" s="33" t="s">
        <v>78</v>
      </c>
    </row>
    <row r="20" spans="1:15" ht="77.25" customHeight="1" x14ac:dyDescent="0.25">
      <c r="A20" s="131">
        <v>1198091</v>
      </c>
      <c r="B20" s="33" t="s">
        <v>164</v>
      </c>
      <c r="C20" s="81" t="s">
        <v>249</v>
      </c>
      <c r="D20" s="91" t="s">
        <v>250</v>
      </c>
      <c r="E20" s="92" t="s">
        <v>251</v>
      </c>
      <c r="F20" s="92" t="s">
        <v>252</v>
      </c>
      <c r="G20" s="92" t="s">
        <v>253</v>
      </c>
      <c r="H20" s="92" t="s">
        <v>17</v>
      </c>
      <c r="I20" s="93" t="s">
        <v>73</v>
      </c>
      <c r="J20" s="93" t="s">
        <v>103</v>
      </c>
      <c r="K20" s="93" t="s">
        <v>74</v>
      </c>
      <c r="L20" s="98"/>
      <c r="M20" s="33" t="s">
        <v>22</v>
      </c>
      <c r="N20" s="23" t="s">
        <v>77</v>
      </c>
      <c r="O20" s="33" t="s">
        <v>78</v>
      </c>
    </row>
    <row r="21" spans="1:15" ht="30.75" customHeight="1" x14ac:dyDescent="0.25">
      <c r="A21" s="131">
        <v>1198092</v>
      </c>
      <c r="B21" s="33" t="s">
        <v>164</v>
      </c>
      <c r="C21" s="81" t="s">
        <v>254</v>
      </c>
      <c r="D21" s="91" t="s">
        <v>255</v>
      </c>
      <c r="E21" s="92" t="s">
        <v>256</v>
      </c>
      <c r="F21" s="92" t="s">
        <v>257</v>
      </c>
      <c r="G21" s="92" t="s">
        <v>258</v>
      </c>
      <c r="H21" s="92" t="s">
        <v>17</v>
      </c>
      <c r="I21" s="93" t="s">
        <v>73</v>
      </c>
      <c r="J21" s="93" t="s">
        <v>103</v>
      </c>
      <c r="K21" s="93" t="s">
        <v>74</v>
      </c>
      <c r="L21" s="98" t="s">
        <v>259</v>
      </c>
      <c r="M21" s="33" t="s">
        <v>22</v>
      </c>
      <c r="N21" s="23" t="s">
        <v>77</v>
      </c>
      <c r="O21" s="33" t="s">
        <v>78</v>
      </c>
    </row>
    <row r="22" spans="1:15" ht="30.75" customHeight="1" x14ac:dyDescent="0.25">
      <c r="A22" s="131">
        <v>1198093</v>
      </c>
      <c r="B22" s="33" t="s">
        <v>164</v>
      </c>
      <c r="C22" s="81" t="s">
        <v>260</v>
      </c>
      <c r="D22" s="91" t="s">
        <v>261</v>
      </c>
      <c r="E22" s="92" t="s">
        <v>256</v>
      </c>
      <c r="F22" s="92" t="s">
        <v>262</v>
      </c>
      <c r="G22" s="92" t="s">
        <v>263</v>
      </c>
      <c r="H22" s="92" t="s">
        <v>17</v>
      </c>
      <c r="I22" s="93" t="s">
        <v>73</v>
      </c>
      <c r="J22" s="93" t="s">
        <v>103</v>
      </c>
      <c r="K22" s="93" t="s">
        <v>74</v>
      </c>
      <c r="L22" s="98" t="s">
        <v>264</v>
      </c>
      <c r="M22" s="33" t="s">
        <v>22</v>
      </c>
      <c r="N22" s="23" t="s">
        <v>77</v>
      </c>
      <c r="O22" s="33" t="s">
        <v>78</v>
      </c>
    </row>
    <row r="23" spans="1:15" ht="30.75" customHeight="1" x14ac:dyDescent="0.25">
      <c r="A23" s="131">
        <v>1198094</v>
      </c>
      <c r="B23" s="33" t="s">
        <v>164</v>
      </c>
      <c r="C23" s="81" t="s">
        <v>265</v>
      </c>
      <c r="D23" s="91" t="s">
        <v>266</v>
      </c>
      <c r="E23" s="92" t="s">
        <v>256</v>
      </c>
      <c r="F23" s="92" t="s">
        <v>267</v>
      </c>
      <c r="G23" s="92" t="s">
        <v>268</v>
      </c>
      <c r="H23" s="92" t="s">
        <v>17</v>
      </c>
      <c r="I23" s="93" t="s">
        <v>73</v>
      </c>
      <c r="J23" s="93" t="s">
        <v>103</v>
      </c>
      <c r="K23" s="93" t="s">
        <v>74</v>
      </c>
      <c r="L23" s="98" t="s">
        <v>264</v>
      </c>
      <c r="M23" s="33" t="s">
        <v>22</v>
      </c>
      <c r="N23" s="23" t="s">
        <v>77</v>
      </c>
      <c r="O23" s="33" t="s">
        <v>78</v>
      </c>
    </row>
    <row r="24" spans="1:15" ht="13.5" customHeight="1" x14ac:dyDescent="0.25">
      <c r="G24" s="17"/>
      <c r="H24" s="17"/>
      <c r="I24" s="17"/>
      <c r="J24" s="17"/>
      <c r="L24" s="17"/>
      <c r="M24" s="17"/>
      <c r="N24" s="17"/>
      <c r="O24" s="17"/>
    </row>
  </sheetData>
  <phoneticPr fontId="1" type="noConversion"/>
  <dataValidations count="2">
    <dataValidation type="list" allowBlank="1" showInputMessage="1" showErrorMessage="1" sqref="M2:N23" xr:uid="{00000000-0002-0000-0500-000000000000}">
      <formula1>"Y, N"</formula1>
    </dataValidation>
    <dataValidation type="list" allowBlank="1" showInputMessage="1" showErrorMessage="1" sqref="L2:L23" xr:uid="{00000000-0002-0000-0500-000001000000}">
      <formula1>"smoke, sanity, full"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topLeftCell="N2" workbookViewId="0">
      <selection activeCell="N2" sqref="N2"/>
    </sheetView>
  </sheetViews>
  <sheetFormatPr defaultRowHeight="14" x14ac:dyDescent="0.25"/>
  <cols>
    <col min="1" max="1" width="33.6328125" style="31" customWidth="1"/>
    <col min="2" max="2" width="32.6328125" style="17" customWidth="1"/>
    <col min="3" max="3" width="24.453125" style="17" customWidth="1"/>
    <col min="4" max="4" width="28.90625" style="17" customWidth="1"/>
    <col min="5" max="5" width="42.36328125" style="17" customWidth="1"/>
    <col min="6" max="6" width="39.26953125" style="17" customWidth="1"/>
    <col min="11" max="11" width="15.7265625" style="17" customWidth="1"/>
  </cols>
  <sheetData>
    <row r="1" spans="1:15" s="67" customFormat="1" ht="14.25" customHeight="1" x14ac:dyDescent="0.3">
      <c r="A1" s="96" t="s">
        <v>57</v>
      </c>
      <c r="B1" s="96" t="s">
        <v>58</v>
      </c>
      <c r="C1" s="51" t="s">
        <v>0</v>
      </c>
      <c r="D1" s="70" t="s">
        <v>1</v>
      </c>
      <c r="E1" s="51" t="s">
        <v>2</v>
      </c>
      <c r="F1" s="51" t="s">
        <v>59</v>
      </c>
      <c r="G1" s="51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3" t="s">
        <v>11</v>
      </c>
      <c r="O1" s="66" t="s">
        <v>66</v>
      </c>
    </row>
    <row r="2" spans="1:15" ht="45.75" customHeight="1" x14ac:dyDescent="0.25">
      <c r="A2" s="31">
        <v>1198042</v>
      </c>
      <c r="B2" s="33" t="s">
        <v>269</v>
      </c>
      <c r="C2" s="105" t="s">
        <v>270</v>
      </c>
      <c r="D2" s="106" t="s">
        <v>271</v>
      </c>
      <c r="E2" s="107" t="s">
        <v>272</v>
      </c>
      <c r="F2" s="108" t="s">
        <v>273</v>
      </c>
      <c r="G2" s="109" t="s">
        <v>274</v>
      </c>
      <c r="H2" s="49" t="s">
        <v>17</v>
      </c>
      <c r="I2" s="49" t="s">
        <v>73</v>
      </c>
      <c r="J2" s="49" t="s">
        <v>103</v>
      </c>
      <c r="K2" s="49" t="s">
        <v>74</v>
      </c>
      <c r="L2" s="49" t="s">
        <v>275</v>
      </c>
      <c r="M2" s="33" t="s">
        <v>22</v>
      </c>
      <c r="N2" s="23" t="s">
        <v>23</v>
      </c>
      <c r="O2" s="49" t="s">
        <v>78</v>
      </c>
    </row>
    <row r="3" spans="1:15" ht="46.5" customHeight="1" x14ac:dyDescent="0.25">
      <c r="A3" s="31">
        <v>1198043</v>
      </c>
      <c r="B3" s="33" t="s">
        <v>269</v>
      </c>
      <c r="C3" s="110" t="s">
        <v>276</v>
      </c>
      <c r="D3" s="111" t="s">
        <v>277</v>
      </c>
      <c r="E3" s="112" t="s">
        <v>272</v>
      </c>
      <c r="F3" s="113" t="s">
        <v>278</v>
      </c>
      <c r="G3" s="111" t="s">
        <v>274</v>
      </c>
      <c r="H3" s="33" t="s">
        <v>17</v>
      </c>
      <c r="I3" s="33" t="s">
        <v>73</v>
      </c>
      <c r="J3" s="33" t="s">
        <v>103</v>
      </c>
      <c r="K3" s="33" t="s">
        <v>74</v>
      </c>
      <c r="L3" s="33" t="s">
        <v>275</v>
      </c>
      <c r="M3" s="33" t="s">
        <v>22</v>
      </c>
      <c r="N3" s="23" t="s">
        <v>23</v>
      </c>
      <c r="O3" s="33" t="s">
        <v>78</v>
      </c>
    </row>
    <row r="4" spans="1:15" ht="43.5" customHeight="1" x14ac:dyDescent="0.25">
      <c r="A4" s="31">
        <v>1198044</v>
      </c>
      <c r="B4" s="33" t="s">
        <v>269</v>
      </c>
      <c r="C4" s="110" t="s">
        <v>279</v>
      </c>
      <c r="D4" s="111" t="s">
        <v>280</v>
      </c>
      <c r="E4" s="112" t="s">
        <v>272</v>
      </c>
      <c r="F4" s="112" t="s">
        <v>281</v>
      </c>
      <c r="G4" s="111" t="s">
        <v>274</v>
      </c>
      <c r="H4" s="33" t="s">
        <v>17</v>
      </c>
      <c r="I4" s="33" t="s">
        <v>73</v>
      </c>
      <c r="J4" s="49" t="s">
        <v>103</v>
      </c>
      <c r="K4" s="33" t="s">
        <v>74</v>
      </c>
      <c r="L4" s="33" t="s">
        <v>275</v>
      </c>
      <c r="M4" s="33" t="s">
        <v>22</v>
      </c>
      <c r="N4" s="23" t="s">
        <v>23</v>
      </c>
      <c r="O4" s="49" t="s">
        <v>78</v>
      </c>
    </row>
    <row r="5" spans="1:15" ht="45.75" customHeight="1" x14ac:dyDescent="0.25">
      <c r="A5" s="31">
        <v>1198045</v>
      </c>
      <c r="B5" s="33" t="s">
        <v>269</v>
      </c>
      <c r="C5" s="110" t="s">
        <v>282</v>
      </c>
      <c r="D5" s="111" t="s">
        <v>283</v>
      </c>
      <c r="E5" s="112" t="s">
        <v>272</v>
      </c>
      <c r="F5" s="112" t="s">
        <v>284</v>
      </c>
      <c r="G5" s="111" t="s">
        <v>274</v>
      </c>
      <c r="H5" s="33" t="s">
        <v>17</v>
      </c>
      <c r="I5" s="33" t="s">
        <v>73</v>
      </c>
      <c r="J5" s="33" t="s">
        <v>103</v>
      </c>
      <c r="K5" s="33" t="s">
        <v>74</v>
      </c>
      <c r="L5" s="33" t="s">
        <v>275</v>
      </c>
      <c r="M5" s="33" t="s">
        <v>22</v>
      </c>
      <c r="N5" s="23" t="s">
        <v>23</v>
      </c>
      <c r="O5" s="33" t="s">
        <v>78</v>
      </c>
    </row>
    <row r="6" spans="1:15" ht="45.75" customHeight="1" x14ac:dyDescent="0.25">
      <c r="A6" s="31">
        <v>1198046</v>
      </c>
      <c r="B6" s="33" t="s">
        <v>269</v>
      </c>
      <c r="C6" s="110" t="s">
        <v>285</v>
      </c>
      <c r="D6" s="111" t="s">
        <v>286</v>
      </c>
      <c r="E6" s="112" t="s">
        <v>272</v>
      </c>
      <c r="F6" s="112" t="s">
        <v>287</v>
      </c>
      <c r="G6" s="111" t="s">
        <v>274</v>
      </c>
      <c r="H6" s="33" t="s">
        <v>17</v>
      </c>
      <c r="I6" s="33" t="s">
        <v>73</v>
      </c>
      <c r="J6" s="49" t="s">
        <v>103</v>
      </c>
      <c r="K6" s="33" t="s">
        <v>74</v>
      </c>
      <c r="L6" s="33" t="s">
        <v>275</v>
      </c>
      <c r="M6" s="33" t="s">
        <v>22</v>
      </c>
      <c r="N6" s="23" t="s">
        <v>23</v>
      </c>
      <c r="O6" s="49" t="s">
        <v>78</v>
      </c>
    </row>
    <row r="7" spans="1:15" ht="45.75" customHeight="1" x14ac:dyDescent="0.25">
      <c r="A7" s="31">
        <v>1198047</v>
      </c>
      <c r="B7" s="33" t="s">
        <v>269</v>
      </c>
      <c r="C7" s="110" t="s">
        <v>288</v>
      </c>
      <c r="D7" s="111" t="s">
        <v>289</v>
      </c>
      <c r="E7" s="112" t="s">
        <v>272</v>
      </c>
      <c r="F7" s="112" t="s">
        <v>290</v>
      </c>
      <c r="G7" s="111" t="s">
        <v>274</v>
      </c>
      <c r="H7" s="33" t="s">
        <v>17</v>
      </c>
      <c r="I7" s="33" t="s">
        <v>73</v>
      </c>
      <c r="J7" s="33" t="s">
        <v>103</v>
      </c>
      <c r="K7" s="33" t="s">
        <v>74</v>
      </c>
      <c r="L7" s="33" t="s">
        <v>275</v>
      </c>
      <c r="M7" s="33" t="s">
        <v>22</v>
      </c>
      <c r="N7" s="23" t="s">
        <v>23</v>
      </c>
      <c r="O7" s="33" t="s">
        <v>78</v>
      </c>
    </row>
    <row r="8" spans="1:15" ht="45.75" customHeight="1" x14ac:dyDescent="0.25">
      <c r="A8" s="31">
        <v>1198048</v>
      </c>
      <c r="B8" s="33" t="s">
        <v>269</v>
      </c>
      <c r="C8" s="110" t="s">
        <v>291</v>
      </c>
      <c r="D8" s="111" t="s">
        <v>292</v>
      </c>
      <c r="E8" s="112" t="s">
        <v>272</v>
      </c>
      <c r="F8" s="112" t="s">
        <v>293</v>
      </c>
      <c r="G8" s="111" t="s">
        <v>274</v>
      </c>
      <c r="H8" s="33" t="s">
        <v>17</v>
      </c>
      <c r="I8" s="33" t="s">
        <v>73</v>
      </c>
      <c r="J8" s="49" t="s">
        <v>103</v>
      </c>
      <c r="K8" s="33" t="s">
        <v>74</v>
      </c>
      <c r="L8" s="33" t="s">
        <v>275</v>
      </c>
      <c r="M8" s="33" t="s">
        <v>22</v>
      </c>
      <c r="N8" s="23" t="s">
        <v>23</v>
      </c>
      <c r="O8" s="49" t="s">
        <v>78</v>
      </c>
    </row>
    <row r="9" spans="1:15" ht="45.75" customHeight="1" x14ac:dyDescent="0.25">
      <c r="A9" s="31">
        <v>1198049</v>
      </c>
      <c r="B9" s="33" t="s">
        <v>269</v>
      </c>
      <c r="C9" s="110" t="s">
        <v>294</v>
      </c>
      <c r="D9" s="111" t="s">
        <v>295</v>
      </c>
      <c r="E9" s="112" t="s">
        <v>272</v>
      </c>
      <c r="F9" s="112" t="s">
        <v>296</v>
      </c>
      <c r="G9" s="111" t="s">
        <v>274</v>
      </c>
      <c r="H9" s="33" t="s">
        <v>17</v>
      </c>
      <c r="I9" s="33" t="s">
        <v>73</v>
      </c>
      <c r="J9" s="33" t="s">
        <v>103</v>
      </c>
      <c r="K9" s="33" t="s">
        <v>74</v>
      </c>
      <c r="L9" s="33" t="s">
        <v>275</v>
      </c>
      <c r="M9" s="33" t="s">
        <v>22</v>
      </c>
      <c r="N9" s="23" t="s">
        <v>23</v>
      </c>
      <c r="O9" s="33" t="s">
        <v>78</v>
      </c>
    </row>
    <row r="10" spans="1:15" ht="45.75" customHeight="1" x14ac:dyDescent="0.25">
      <c r="A10" s="31">
        <v>1198050</v>
      </c>
      <c r="B10" s="33" t="s">
        <v>269</v>
      </c>
      <c r="C10" s="110" t="s">
        <v>297</v>
      </c>
      <c r="D10" s="111" t="s">
        <v>298</v>
      </c>
      <c r="E10" s="112" t="s">
        <v>272</v>
      </c>
      <c r="F10" s="112" t="s">
        <v>299</v>
      </c>
      <c r="G10" s="111" t="s">
        <v>274</v>
      </c>
      <c r="H10" s="33" t="s">
        <v>17</v>
      </c>
      <c r="I10" s="33" t="s">
        <v>73</v>
      </c>
      <c r="J10" s="49" t="s">
        <v>103</v>
      </c>
      <c r="K10" s="33" t="s">
        <v>74</v>
      </c>
      <c r="L10" s="33" t="s">
        <v>275</v>
      </c>
      <c r="M10" s="33" t="s">
        <v>22</v>
      </c>
      <c r="N10" s="23" t="s">
        <v>23</v>
      </c>
      <c r="O10" s="49" t="s">
        <v>78</v>
      </c>
    </row>
    <row r="11" spans="1:15" ht="45.75" customHeight="1" x14ac:dyDescent="0.25">
      <c r="A11" s="31">
        <v>1198051</v>
      </c>
      <c r="B11" s="33" t="s">
        <v>269</v>
      </c>
      <c r="C11" s="110" t="s">
        <v>300</v>
      </c>
      <c r="D11" s="111" t="s">
        <v>301</v>
      </c>
      <c r="E11" s="112" t="s">
        <v>272</v>
      </c>
      <c r="F11" s="112" t="s">
        <v>302</v>
      </c>
      <c r="G11" s="111" t="s">
        <v>274</v>
      </c>
      <c r="H11" s="33" t="s">
        <v>17</v>
      </c>
      <c r="I11" s="33" t="s">
        <v>73</v>
      </c>
      <c r="J11" s="33" t="s">
        <v>103</v>
      </c>
      <c r="K11" s="33" t="s">
        <v>74</v>
      </c>
      <c r="L11" s="33" t="s">
        <v>275</v>
      </c>
      <c r="M11" s="33" t="s">
        <v>22</v>
      </c>
      <c r="N11" s="23" t="s">
        <v>23</v>
      </c>
      <c r="O11" s="33" t="s">
        <v>78</v>
      </c>
    </row>
    <row r="12" spans="1:15" ht="45.75" customHeight="1" x14ac:dyDescent="0.25">
      <c r="A12" s="31">
        <v>1198052</v>
      </c>
      <c r="B12" s="33" t="s">
        <v>269</v>
      </c>
      <c r="C12" s="110" t="s">
        <v>303</v>
      </c>
      <c r="D12" s="111" t="s">
        <v>304</v>
      </c>
      <c r="E12" s="112" t="s">
        <v>272</v>
      </c>
      <c r="F12" s="112" t="s">
        <v>305</v>
      </c>
      <c r="G12" s="111" t="s">
        <v>274</v>
      </c>
      <c r="H12" s="33" t="s">
        <v>17</v>
      </c>
      <c r="I12" s="33" t="s">
        <v>73</v>
      </c>
      <c r="J12" s="49" t="s">
        <v>103</v>
      </c>
      <c r="K12" s="33" t="s">
        <v>74</v>
      </c>
      <c r="L12" s="33" t="s">
        <v>275</v>
      </c>
      <c r="M12" s="33" t="s">
        <v>22</v>
      </c>
      <c r="N12" s="23" t="s">
        <v>23</v>
      </c>
      <c r="O12" s="49" t="s">
        <v>78</v>
      </c>
    </row>
    <row r="13" spans="1:15" ht="45.75" customHeight="1" x14ac:dyDescent="0.25">
      <c r="A13" s="31">
        <v>1198053</v>
      </c>
      <c r="B13" s="33" t="s">
        <v>269</v>
      </c>
      <c r="C13" s="110" t="s">
        <v>306</v>
      </c>
      <c r="D13" s="111" t="s">
        <v>307</v>
      </c>
      <c r="E13" s="112" t="s">
        <v>272</v>
      </c>
      <c r="F13" s="112" t="s">
        <v>308</v>
      </c>
      <c r="G13" s="111" t="s">
        <v>274</v>
      </c>
      <c r="H13" s="33" t="s">
        <v>17</v>
      </c>
      <c r="I13" s="33" t="s">
        <v>73</v>
      </c>
      <c r="J13" s="33" t="s">
        <v>103</v>
      </c>
      <c r="K13" s="33" t="s">
        <v>74</v>
      </c>
      <c r="L13" s="33" t="s">
        <v>275</v>
      </c>
      <c r="M13" s="33" t="s">
        <v>22</v>
      </c>
      <c r="N13" s="23" t="s">
        <v>23</v>
      </c>
      <c r="O13" s="33" t="s">
        <v>78</v>
      </c>
    </row>
    <row r="14" spans="1:15" ht="45.75" customHeight="1" x14ac:dyDescent="0.25">
      <c r="A14" s="31">
        <v>1198054</v>
      </c>
      <c r="B14" s="33" t="s">
        <v>269</v>
      </c>
      <c r="C14" s="110" t="s">
        <v>309</v>
      </c>
      <c r="D14" s="111" t="s">
        <v>310</v>
      </c>
      <c r="E14" s="112" t="s">
        <v>272</v>
      </c>
      <c r="F14" s="112" t="s">
        <v>311</v>
      </c>
      <c r="G14" s="111" t="s">
        <v>274</v>
      </c>
      <c r="H14" s="33" t="s">
        <v>17</v>
      </c>
      <c r="I14" s="33" t="s">
        <v>73</v>
      </c>
      <c r="J14" s="49" t="s">
        <v>103</v>
      </c>
      <c r="K14" s="33" t="s">
        <v>74</v>
      </c>
      <c r="L14" s="33" t="s">
        <v>275</v>
      </c>
      <c r="M14" s="33" t="s">
        <v>22</v>
      </c>
      <c r="N14" s="23" t="s">
        <v>23</v>
      </c>
      <c r="O14" s="49" t="s">
        <v>78</v>
      </c>
    </row>
    <row r="15" spans="1:15" ht="45.75" customHeight="1" x14ac:dyDescent="0.25">
      <c r="A15" s="31">
        <v>1198055</v>
      </c>
      <c r="B15" s="33" t="s">
        <v>269</v>
      </c>
      <c r="C15" s="110" t="s">
        <v>312</v>
      </c>
      <c r="D15" s="111" t="s">
        <v>313</v>
      </c>
      <c r="E15" s="112" t="s">
        <v>272</v>
      </c>
      <c r="F15" s="112" t="s">
        <v>314</v>
      </c>
      <c r="G15" s="111" t="s">
        <v>274</v>
      </c>
      <c r="H15" s="33" t="s">
        <v>17</v>
      </c>
      <c r="I15" s="33" t="s">
        <v>73</v>
      </c>
      <c r="J15" s="33" t="s">
        <v>103</v>
      </c>
      <c r="K15" s="33" t="s">
        <v>74</v>
      </c>
      <c r="L15" s="33" t="s">
        <v>275</v>
      </c>
      <c r="M15" s="33" t="s">
        <v>22</v>
      </c>
      <c r="N15" s="23" t="s">
        <v>23</v>
      </c>
      <c r="O15" s="33" t="s">
        <v>78</v>
      </c>
    </row>
    <row r="16" spans="1:15" ht="45.75" customHeight="1" x14ac:dyDescent="0.25">
      <c r="A16" s="31">
        <v>1198056</v>
      </c>
      <c r="B16" s="33" t="s">
        <v>269</v>
      </c>
      <c r="C16" s="110" t="s">
        <v>315</v>
      </c>
      <c r="D16" s="111" t="s">
        <v>316</v>
      </c>
      <c r="E16" s="112" t="s">
        <v>272</v>
      </c>
      <c r="F16" s="112" t="s">
        <v>317</v>
      </c>
      <c r="G16" s="111" t="s">
        <v>274</v>
      </c>
      <c r="H16" s="33" t="s">
        <v>17</v>
      </c>
      <c r="I16" s="33" t="s">
        <v>73</v>
      </c>
      <c r="J16" s="49" t="s">
        <v>103</v>
      </c>
      <c r="K16" s="33" t="s">
        <v>74</v>
      </c>
      <c r="L16" s="33" t="s">
        <v>275</v>
      </c>
      <c r="M16" s="33" t="s">
        <v>22</v>
      </c>
      <c r="N16" s="23" t="s">
        <v>23</v>
      </c>
      <c r="O16" s="49" t="s">
        <v>78</v>
      </c>
    </row>
    <row r="17" spans="1:15" ht="45.75" customHeight="1" x14ac:dyDescent="0.25">
      <c r="A17" s="31">
        <v>1198057</v>
      </c>
      <c r="B17" s="33" t="s">
        <v>269</v>
      </c>
      <c r="C17" s="110" t="s">
        <v>318</v>
      </c>
      <c r="D17" s="111" t="s">
        <v>319</v>
      </c>
      <c r="E17" s="112" t="s">
        <v>272</v>
      </c>
      <c r="F17" s="113" t="s">
        <v>320</v>
      </c>
      <c r="G17" s="111" t="s">
        <v>274</v>
      </c>
      <c r="H17" s="33" t="s">
        <v>17</v>
      </c>
      <c r="I17" s="33" t="s">
        <v>73</v>
      </c>
      <c r="J17" s="33" t="s">
        <v>103</v>
      </c>
      <c r="K17" s="33" t="s">
        <v>74</v>
      </c>
      <c r="L17" s="33" t="s">
        <v>275</v>
      </c>
      <c r="M17" s="33" t="s">
        <v>22</v>
      </c>
      <c r="N17" s="23" t="s">
        <v>23</v>
      </c>
      <c r="O17" s="33" t="s">
        <v>78</v>
      </c>
    </row>
    <row r="18" spans="1:15" ht="45.75" customHeight="1" x14ac:dyDescent="0.25">
      <c r="A18" s="31">
        <v>1198058</v>
      </c>
      <c r="B18" s="33" t="s">
        <v>269</v>
      </c>
      <c r="C18" s="110" t="s">
        <v>321</v>
      </c>
      <c r="D18" s="111" t="s">
        <v>322</v>
      </c>
      <c r="E18" s="112" t="s">
        <v>272</v>
      </c>
      <c r="F18" s="113" t="s">
        <v>323</v>
      </c>
      <c r="G18" s="111" t="s">
        <v>274</v>
      </c>
      <c r="H18" s="33" t="s">
        <v>17</v>
      </c>
      <c r="I18" s="33" t="s">
        <v>73</v>
      </c>
      <c r="J18" s="49" t="s">
        <v>103</v>
      </c>
      <c r="K18" s="33" t="s">
        <v>74</v>
      </c>
      <c r="L18" s="33" t="s">
        <v>275</v>
      </c>
      <c r="M18" s="33" t="s">
        <v>22</v>
      </c>
      <c r="N18" s="23" t="s">
        <v>23</v>
      </c>
      <c r="O18" s="49" t="s">
        <v>78</v>
      </c>
    </row>
    <row r="19" spans="1:15" ht="45.75" customHeight="1" x14ac:dyDescent="0.25">
      <c r="A19" s="31">
        <v>1198059</v>
      </c>
      <c r="B19" s="33" t="s">
        <v>269</v>
      </c>
      <c r="C19" s="110" t="s">
        <v>324</v>
      </c>
      <c r="D19" s="111" t="s">
        <v>325</v>
      </c>
      <c r="E19" s="112" t="s">
        <v>272</v>
      </c>
      <c r="F19" s="113" t="s">
        <v>326</v>
      </c>
      <c r="G19" s="111" t="s">
        <v>274</v>
      </c>
      <c r="H19" s="33" t="s">
        <v>17</v>
      </c>
      <c r="I19" s="33" t="s">
        <v>73</v>
      </c>
      <c r="J19" s="33" t="s">
        <v>103</v>
      </c>
      <c r="K19" s="33" t="s">
        <v>74</v>
      </c>
      <c r="L19" s="33" t="s">
        <v>275</v>
      </c>
      <c r="M19" s="33" t="s">
        <v>22</v>
      </c>
      <c r="N19" s="23" t="s">
        <v>23</v>
      </c>
      <c r="O19" s="33" t="s">
        <v>78</v>
      </c>
    </row>
    <row r="20" spans="1:15" ht="45.75" customHeight="1" x14ac:dyDescent="0.25">
      <c r="A20" s="31">
        <v>1198060</v>
      </c>
      <c r="B20" s="33" t="s">
        <v>269</v>
      </c>
      <c r="C20" s="110" t="s">
        <v>327</v>
      </c>
      <c r="D20" s="111" t="s">
        <v>328</v>
      </c>
      <c r="E20" s="112" t="s">
        <v>272</v>
      </c>
      <c r="F20" s="113" t="s">
        <v>329</v>
      </c>
      <c r="G20" s="111" t="s">
        <v>274</v>
      </c>
      <c r="H20" s="33" t="s">
        <v>17</v>
      </c>
      <c r="I20" s="33" t="s">
        <v>73</v>
      </c>
      <c r="J20" s="49" t="s">
        <v>103</v>
      </c>
      <c r="K20" s="33" t="s">
        <v>74</v>
      </c>
      <c r="L20" s="33" t="s">
        <v>275</v>
      </c>
      <c r="M20" s="33" t="s">
        <v>22</v>
      </c>
      <c r="N20" s="23" t="s">
        <v>23</v>
      </c>
      <c r="O20" s="49" t="s">
        <v>78</v>
      </c>
    </row>
    <row r="21" spans="1:15" ht="45.75" customHeight="1" x14ac:dyDescent="0.25">
      <c r="A21" s="31">
        <v>1198061</v>
      </c>
      <c r="B21" s="33" t="s">
        <v>269</v>
      </c>
      <c r="C21" s="110" t="s">
        <v>330</v>
      </c>
      <c r="D21" s="111" t="s">
        <v>331</v>
      </c>
      <c r="E21" s="112" t="s">
        <v>272</v>
      </c>
      <c r="F21" s="113" t="s">
        <v>332</v>
      </c>
      <c r="G21" s="111" t="s">
        <v>274</v>
      </c>
      <c r="H21" s="33" t="s">
        <v>17</v>
      </c>
      <c r="I21" s="33" t="s">
        <v>73</v>
      </c>
      <c r="J21" s="33" t="s">
        <v>103</v>
      </c>
      <c r="K21" s="33" t="s">
        <v>74</v>
      </c>
      <c r="L21" s="33" t="s">
        <v>275</v>
      </c>
      <c r="M21" s="33" t="s">
        <v>22</v>
      </c>
      <c r="N21" s="23" t="s">
        <v>23</v>
      </c>
      <c r="O21" s="33" t="s">
        <v>78</v>
      </c>
    </row>
    <row r="22" spans="1:15" ht="45.75" customHeight="1" x14ac:dyDescent="0.25">
      <c r="A22" s="31">
        <v>1198062</v>
      </c>
      <c r="B22" s="33" t="s">
        <v>269</v>
      </c>
      <c r="C22" s="110" t="s">
        <v>333</v>
      </c>
      <c r="D22" s="111" t="s">
        <v>334</v>
      </c>
      <c r="E22" s="112" t="s">
        <v>272</v>
      </c>
      <c r="F22" s="113" t="s">
        <v>335</v>
      </c>
      <c r="G22" s="111" t="s">
        <v>274</v>
      </c>
      <c r="H22" s="33" t="s">
        <v>17</v>
      </c>
      <c r="I22" s="33" t="s">
        <v>73</v>
      </c>
      <c r="J22" s="49" t="s">
        <v>103</v>
      </c>
      <c r="K22" s="33" t="s">
        <v>74</v>
      </c>
      <c r="L22" s="33" t="s">
        <v>275</v>
      </c>
      <c r="M22" s="33" t="s">
        <v>22</v>
      </c>
      <c r="N22" s="23" t="s">
        <v>23</v>
      </c>
      <c r="O22" s="49" t="s">
        <v>78</v>
      </c>
    </row>
    <row r="23" spans="1:15" ht="45.75" customHeight="1" x14ac:dyDescent="0.25">
      <c r="A23" s="31">
        <v>1198063</v>
      </c>
      <c r="B23" s="33" t="s">
        <v>269</v>
      </c>
      <c r="C23" s="110" t="s">
        <v>336</v>
      </c>
      <c r="D23" s="111" t="s">
        <v>337</v>
      </c>
      <c r="E23" s="112" t="s">
        <v>272</v>
      </c>
      <c r="F23" s="113" t="s">
        <v>338</v>
      </c>
      <c r="G23" s="111" t="s">
        <v>274</v>
      </c>
      <c r="H23" s="33" t="s">
        <v>17</v>
      </c>
      <c r="I23" s="33" t="s">
        <v>73</v>
      </c>
      <c r="J23" s="33" t="s">
        <v>103</v>
      </c>
      <c r="K23" s="33" t="s">
        <v>74</v>
      </c>
      <c r="L23" s="33" t="s">
        <v>275</v>
      </c>
      <c r="M23" s="33" t="s">
        <v>22</v>
      </c>
      <c r="N23" s="23" t="s">
        <v>23</v>
      </c>
      <c r="O23" s="33" t="s">
        <v>78</v>
      </c>
    </row>
    <row r="24" spans="1:15" ht="45.75" customHeight="1" x14ac:dyDescent="0.25">
      <c r="A24" s="31">
        <v>1198064</v>
      </c>
      <c r="B24" s="33" t="s">
        <v>269</v>
      </c>
      <c r="C24" s="110" t="s">
        <v>339</v>
      </c>
      <c r="D24" s="111" t="s">
        <v>340</v>
      </c>
      <c r="E24" s="112" t="s">
        <v>272</v>
      </c>
      <c r="F24" s="113" t="s">
        <v>341</v>
      </c>
      <c r="G24" s="111" t="s">
        <v>274</v>
      </c>
      <c r="H24" s="33" t="s">
        <v>17</v>
      </c>
      <c r="I24" s="33" t="s">
        <v>73</v>
      </c>
      <c r="J24" s="49" t="s">
        <v>103</v>
      </c>
      <c r="K24" s="33" t="s">
        <v>74</v>
      </c>
      <c r="L24" s="33" t="s">
        <v>275</v>
      </c>
      <c r="M24" s="33" t="s">
        <v>22</v>
      </c>
      <c r="N24" s="23" t="s">
        <v>23</v>
      </c>
      <c r="O24" s="49" t="s">
        <v>78</v>
      </c>
    </row>
    <row r="25" spans="1:15" ht="45.75" customHeight="1" x14ac:dyDescent="0.25">
      <c r="A25" s="31">
        <v>1198065</v>
      </c>
      <c r="B25" s="33" t="s">
        <v>269</v>
      </c>
      <c r="C25" s="110" t="s">
        <v>342</v>
      </c>
      <c r="D25" s="111" t="s">
        <v>343</v>
      </c>
      <c r="E25" s="112" t="s">
        <v>272</v>
      </c>
      <c r="F25" s="113" t="s">
        <v>344</v>
      </c>
      <c r="G25" s="111" t="s">
        <v>274</v>
      </c>
      <c r="H25" s="33" t="s">
        <v>17</v>
      </c>
      <c r="I25" s="33" t="s">
        <v>73</v>
      </c>
      <c r="J25" s="33" t="s">
        <v>103</v>
      </c>
      <c r="K25" s="33" t="s">
        <v>74</v>
      </c>
      <c r="L25" s="33" t="s">
        <v>275</v>
      </c>
      <c r="M25" s="33" t="s">
        <v>22</v>
      </c>
      <c r="N25" s="23" t="s">
        <v>23</v>
      </c>
      <c r="O25" s="33" t="s">
        <v>78</v>
      </c>
    </row>
    <row r="26" spans="1:15" ht="45.75" customHeight="1" x14ac:dyDescent="0.25">
      <c r="A26" s="31">
        <v>1198066</v>
      </c>
      <c r="B26" s="33" t="s">
        <v>269</v>
      </c>
      <c r="C26" s="110" t="s">
        <v>345</v>
      </c>
      <c r="D26" s="111" t="s">
        <v>346</v>
      </c>
      <c r="E26" s="112" t="s">
        <v>272</v>
      </c>
      <c r="F26" s="113" t="s">
        <v>347</v>
      </c>
      <c r="G26" s="111" t="s">
        <v>274</v>
      </c>
      <c r="H26" s="33" t="s">
        <v>17</v>
      </c>
      <c r="I26" s="33" t="s">
        <v>73</v>
      </c>
      <c r="J26" s="49" t="s">
        <v>103</v>
      </c>
      <c r="K26" s="33" t="s">
        <v>74</v>
      </c>
      <c r="L26" s="33" t="s">
        <v>275</v>
      </c>
      <c r="M26" s="33" t="s">
        <v>22</v>
      </c>
      <c r="N26" s="23" t="s">
        <v>23</v>
      </c>
      <c r="O26" s="49" t="s">
        <v>78</v>
      </c>
    </row>
    <row r="27" spans="1:15" ht="45.75" customHeight="1" x14ac:dyDescent="0.25">
      <c r="A27" s="31">
        <v>1198067</v>
      </c>
      <c r="B27" s="33" t="s">
        <v>269</v>
      </c>
      <c r="C27" s="110" t="s">
        <v>348</v>
      </c>
      <c r="D27" s="111" t="s">
        <v>349</v>
      </c>
      <c r="E27" s="112" t="s">
        <v>272</v>
      </c>
      <c r="F27" s="113" t="s">
        <v>350</v>
      </c>
      <c r="G27" s="111" t="s">
        <v>274</v>
      </c>
      <c r="H27" s="33" t="s">
        <v>17</v>
      </c>
      <c r="I27" s="33" t="s">
        <v>73</v>
      </c>
      <c r="J27" s="33" t="s">
        <v>103</v>
      </c>
      <c r="K27" s="33" t="s">
        <v>74</v>
      </c>
      <c r="L27" s="33" t="s">
        <v>275</v>
      </c>
      <c r="M27" s="33" t="s">
        <v>22</v>
      </c>
      <c r="N27" s="23" t="s">
        <v>23</v>
      </c>
      <c r="O27" s="33" t="s">
        <v>78</v>
      </c>
    </row>
    <row r="28" spans="1:15" ht="46.5" customHeight="1" x14ac:dyDescent="0.25">
      <c r="A28" s="31">
        <v>1198068</v>
      </c>
      <c r="B28" s="33" t="s">
        <v>269</v>
      </c>
      <c r="C28" s="110" t="s">
        <v>351</v>
      </c>
      <c r="D28" s="111" t="s">
        <v>352</v>
      </c>
      <c r="E28" s="112" t="s">
        <v>272</v>
      </c>
      <c r="F28" s="113" t="s">
        <v>353</v>
      </c>
      <c r="G28" s="111" t="s">
        <v>274</v>
      </c>
      <c r="H28" s="33" t="s">
        <v>17</v>
      </c>
      <c r="I28" s="33" t="s">
        <v>73</v>
      </c>
      <c r="J28" s="49" t="s">
        <v>103</v>
      </c>
      <c r="K28" s="33" t="s">
        <v>74</v>
      </c>
      <c r="L28" s="33" t="s">
        <v>275</v>
      </c>
      <c r="M28" s="33" t="s">
        <v>22</v>
      </c>
      <c r="N28" s="23" t="s">
        <v>23</v>
      </c>
      <c r="O28" s="49" t="s">
        <v>78</v>
      </c>
    </row>
    <row r="29" spans="1:15" ht="45.75" customHeight="1" x14ac:dyDescent="0.25">
      <c r="A29" s="31">
        <v>1198069</v>
      </c>
      <c r="B29" s="33" t="s">
        <v>269</v>
      </c>
      <c r="C29" s="110" t="s">
        <v>354</v>
      </c>
      <c r="D29" s="111" t="s">
        <v>355</v>
      </c>
      <c r="E29" s="112" t="s">
        <v>272</v>
      </c>
      <c r="F29" s="113" t="s">
        <v>356</v>
      </c>
      <c r="G29" s="111" t="s">
        <v>274</v>
      </c>
      <c r="H29" s="33" t="s">
        <v>17</v>
      </c>
      <c r="I29" s="33" t="s">
        <v>73</v>
      </c>
      <c r="J29" s="33" t="s">
        <v>103</v>
      </c>
      <c r="K29" s="33" t="s">
        <v>74</v>
      </c>
      <c r="L29" s="33" t="s">
        <v>275</v>
      </c>
      <c r="M29" s="33" t="s">
        <v>22</v>
      </c>
      <c r="N29" s="23" t="s">
        <v>23</v>
      </c>
      <c r="O29" s="33" t="s">
        <v>78</v>
      </c>
    </row>
    <row r="30" spans="1:15" ht="51.75" customHeight="1" x14ac:dyDescent="0.25">
      <c r="A30" s="31">
        <v>1198070</v>
      </c>
      <c r="B30" s="33" t="s">
        <v>269</v>
      </c>
      <c r="C30" s="110" t="s">
        <v>357</v>
      </c>
      <c r="D30" s="111" t="s">
        <v>358</v>
      </c>
      <c r="E30" s="112" t="s">
        <v>272</v>
      </c>
      <c r="F30" s="113" t="s">
        <v>359</v>
      </c>
      <c r="G30" s="111" t="s">
        <v>274</v>
      </c>
      <c r="H30" s="33" t="s">
        <v>17</v>
      </c>
      <c r="I30" s="33" t="s">
        <v>73</v>
      </c>
      <c r="J30" s="49" t="s">
        <v>103</v>
      </c>
      <c r="K30" s="33" t="s">
        <v>74</v>
      </c>
      <c r="L30" s="33" t="s">
        <v>275</v>
      </c>
      <c r="M30" s="33" t="s">
        <v>22</v>
      </c>
      <c r="N30" s="23" t="s">
        <v>23</v>
      </c>
      <c r="O30" s="49" t="s">
        <v>78</v>
      </c>
    </row>
    <row r="31" spans="1:15" ht="45.75" customHeight="1" x14ac:dyDescent="0.25">
      <c r="A31" s="31">
        <v>1198071</v>
      </c>
      <c r="B31" s="33" t="s">
        <v>269</v>
      </c>
      <c r="C31" s="110" t="s">
        <v>360</v>
      </c>
      <c r="D31" s="111" t="s">
        <v>361</v>
      </c>
      <c r="E31" s="112" t="s">
        <v>272</v>
      </c>
      <c r="F31" s="113" t="s">
        <v>362</v>
      </c>
      <c r="G31" s="111" t="s">
        <v>274</v>
      </c>
      <c r="H31" s="33" t="s">
        <v>17</v>
      </c>
      <c r="I31" s="33" t="s">
        <v>73</v>
      </c>
      <c r="J31" s="33" t="s">
        <v>103</v>
      </c>
      <c r="K31" s="33" t="s">
        <v>74</v>
      </c>
      <c r="L31" s="33" t="s">
        <v>275</v>
      </c>
      <c r="M31" s="33" t="s">
        <v>22</v>
      </c>
      <c r="N31" s="23" t="s">
        <v>23</v>
      </c>
      <c r="O31" s="33" t="s">
        <v>78</v>
      </c>
    </row>
  </sheetData>
  <phoneticPr fontId="1" type="noConversion"/>
  <dataValidations count="2">
    <dataValidation type="list" allowBlank="1" showInputMessage="1" showErrorMessage="1" sqref="L2:L31" xr:uid="{00000000-0002-0000-0400-000000000000}">
      <formula1>"smoke, sanity, full"</formula1>
    </dataValidation>
    <dataValidation type="list" allowBlank="1" showInputMessage="1" showErrorMessage="1" sqref="M2:N31" xr:uid="{00000000-0002-0000-0400-000001000000}">
      <formula1>"Y, N"</formula1>
    </dataValidation>
  </dataValidations>
  <hyperlinks>
    <hyperlink ref="K2" r:id="rId1" xr:uid="{00000000-0004-0000-0400-000000000000}"/>
    <hyperlink ref="K3" r:id="rId2" xr:uid="{00000000-0004-0000-0400-000001000000}"/>
    <hyperlink ref="K4" r:id="rId3" xr:uid="{00000000-0004-0000-0400-000002000000}"/>
    <hyperlink ref="K5" r:id="rId4" xr:uid="{00000000-0004-0000-0400-000003000000}"/>
    <hyperlink ref="K6" r:id="rId5" xr:uid="{00000000-0004-0000-0400-000004000000}"/>
    <hyperlink ref="K7" r:id="rId6" xr:uid="{00000000-0004-0000-0400-000005000000}"/>
    <hyperlink ref="K8" r:id="rId7" xr:uid="{00000000-0004-0000-0400-000006000000}"/>
    <hyperlink ref="K9" r:id="rId8" xr:uid="{00000000-0004-0000-0400-000007000000}"/>
    <hyperlink ref="K10" r:id="rId9" xr:uid="{00000000-0004-0000-0400-000008000000}"/>
    <hyperlink ref="K11" r:id="rId10" xr:uid="{00000000-0004-0000-0400-000009000000}"/>
    <hyperlink ref="K12" r:id="rId11" xr:uid="{00000000-0004-0000-0400-00000A000000}"/>
    <hyperlink ref="K13" r:id="rId12" xr:uid="{00000000-0004-0000-0400-00000B000000}"/>
    <hyperlink ref="K14" r:id="rId13" xr:uid="{00000000-0004-0000-0400-00000C000000}"/>
    <hyperlink ref="K15" r:id="rId14" xr:uid="{00000000-0004-0000-0400-00000D000000}"/>
    <hyperlink ref="K16" r:id="rId15" xr:uid="{00000000-0004-0000-0400-00000E000000}"/>
    <hyperlink ref="K17" r:id="rId16" xr:uid="{00000000-0004-0000-0400-00000F000000}"/>
    <hyperlink ref="K18" r:id="rId17" xr:uid="{00000000-0004-0000-0400-000010000000}"/>
    <hyperlink ref="K19" r:id="rId18" xr:uid="{00000000-0004-0000-0400-000011000000}"/>
    <hyperlink ref="K20" r:id="rId19" xr:uid="{00000000-0004-0000-0400-000012000000}"/>
    <hyperlink ref="K21" r:id="rId20" xr:uid="{00000000-0004-0000-0400-000013000000}"/>
    <hyperlink ref="K22" r:id="rId21" xr:uid="{00000000-0004-0000-0400-000014000000}"/>
    <hyperlink ref="K23" r:id="rId22" xr:uid="{00000000-0004-0000-0400-000015000000}"/>
    <hyperlink ref="K24" r:id="rId23" xr:uid="{00000000-0004-0000-0400-000016000000}"/>
    <hyperlink ref="K25" r:id="rId24" xr:uid="{00000000-0004-0000-0400-000017000000}"/>
    <hyperlink ref="K26" r:id="rId25" xr:uid="{00000000-0004-0000-0400-000018000000}"/>
    <hyperlink ref="K27" r:id="rId26" xr:uid="{00000000-0004-0000-0400-000019000000}"/>
    <hyperlink ref="K28" r:id="rId27" xr:uid="{00000000-0004-0000-0400-00001A000000}"/>
    <hyperlink ref="K29" r:id="rId28" xr:uid="{00000000-0004-0000-0400-00001B000000}"/>
    <hyperlink ref="K30" r:id="rId29" xr:uid="{00000000-0004-0000-0400-00001C000000}"/>
    <hyperlink ref="K31" r:id="rId30" xr:uid="{00000000-0004-0000-0400-00001D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8"/>
  <sheetViews>
    <sheetView topLeftCell="D10" workbookViewId="0">
      <selection activeCell="O19" sqref="O19"/>
    </sheetView>
  </sheetViews>
  <sheetFormatPr defaultColWidth="8.7265625" defaultRowHeight="14" x14ac:dyDescent="0.25"/>
  <cols>
    <col min="1" max="1" width="26.453125" style="38" customWidth="1"/>
    <col min="2" max="2" width="33.7265625" style="32" customWidth="1"/>
    <col min="3" max="3" width="34" style="32" customWidth="1"/>
    <col min="4" max="4" width="28.6328125" style="32" customWidth="1"/>
    <col min="5" max="5" width="36.6328125" style="32" customWidth="1"/>
    <col min="6" max="6" width="26.08984375" style="32" customWidth="1"/>
    <col min="7" max="10" width="8.7265625" style="32" customWidth="1"/>
    <col min="11" max="11" width="16.90625" style="32" customWidth="1"/>
    <col min="12" max="12" width="8.7265625" style="32" customWidth="1"/>
    <col min="13" max="16384" width="8.7265625" style="32"/>
  </cols>
  <sheetData>
    <row r="1" spans="1:15" s="67" customFormat="1" ht="14.25" customHeight="1" x14ac:dyDescent="0.3">
      <c r="A1" s="96" t="s">
        <v>57</v>
      </c>
      <c r="B1" s="96" t="s">
        <v>58</v>
      </c>
      <c r="C1" s="51" t="s">
        <v>0</v>
      </c>
      <c r="D1" s="70" t="s">
        <v>1</v>
      </c>
      <c r="E1" s="51" t="s">
        <v>2</v>
      </c>
      <c r="F1" s="51" t="s">
        <v>59</v>
      </c>
      <c r="G1" s="51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3" t="s">
        <v>11</v>
      </c>
      <c r="O1" s="66" t="s">
        <v>66</v>
      </c>
    </row>
    <row r="2" spans="1:15" ht="51.75" customHeight="1" x14ac:dyDescent="0.25">
      <c r="A2" s="31">
        <v>1198095</v>
      </c>
      <c r="B2" s="33" t="s">
        <v>363</v>
      </c>
      <c r="C2" s="91" t="s">
        <v>364</v>
      </c>
      <c r="D2" s="93" t="s">
        <v>365</v>
      </c>
      <c r="E2" s="92" t="s">
        <v>366</v>
      </c>
      <c r="F2" s="92" t="s">
        <v>367</v>
      </c>
      <c r="G2" s="92" t="s">
        <v>368</v>
      </c>
      <c r="H2" s="50" t="s">
        <v>17</v>
      </c>
      <c r="I2" s="50" t="s">
        <v>73</v>
      </c>
      <c r="J2" s="50" t="s">
        <v>19</v>
      </c>
      <c r="K2" s="50" t="s">
        <v>74</v>
      </c>
      <c r="L2" s="50" t="s">
        <v>369</v>
      </c>
      <c r="M2" s="33" t="s">
        <v>22</v>
      </c>
      <c r="N2" s="23" t="s">
        <v>77</v>
      </c>
      <c r="O2" s="49" t="s">
        <v>78</v>
      </c>
    </row>
    <row r="3" spans="1:15" ht="43.5" customHeight="1" x14ac:dyDescent="0.25">
      <c r="A3" s="31">
        <v>1198096</v>
      </c>
      <c r="B3" s="33" t="s">
        <v>363</v>
      </c>
      <c r="C3" s="91" t="s">
        <v>370</v>
      </c>
      <c r="D3" s="93" t="s">
        <v>371</v>
      </c>
      <c r="E3" s="92" t="s">
        <v>366</v>
      </c>
      <c r="F3" s="92" t="s">
        <v>372</v>
      </c>
      <c r="G3" s="92" t="s">
        <v>373</v>
      </c>
      <c r="H3" s="98" t="s">
        <v>17</v>
      </c>
      <c r="I3" s="98" t="s">
        <v>73</v>
      </c>
      <c r="J3" s="98" t="s">
        <v>19</v>
      </c>
      <c r="K3" s="98" t="s">
        <v>74</v>
      </c>
      <c r="L3" s="98" t="s">
        <v>369</v>
      </c>
      <c r="M3" s="33" t="s">
        <v>22</v>
      </c>
      <c r="N3" s="23" t="s">
        <v>77</v>
      </c>
      <c r="O3" s="33" t="s">
        <v>78</v>
      </c>
    </row>
    <row r="4" spans="1:15" ht="44.25" customHeight="1" x14ac:dyDescent="0.25">
      <c r="A4" s="31">
        <v>1198097</v>
      </c>
      <c r="B4" s="33" t="s">
        <v>363</v>
      </c>
      <c r="C4" s="91" t="s">
        <v>374</v>
      </c>
      <c r="D4" s="93" t="s">
        <v>375</v>
      </c>
      <c r="E4" s="92" t="s">
        <v>366</v>
      </c>
      <c r="F4" s="92" t="s">
        <v>376</v>
      </c>
      <c r="G4" s="92" t="s">
        <v>377</v>
      </c>
      <c r="H4" s="35" t="s">
        <v>17</v>
      </c>
      <c r="I4" s="35" t="s">
        <v>73</v>
      </c>
      <c r="J4" s="35" t="s">
        <v>19</v>
      </c>
      <c r="K4" s="98" t="s">
        <v>74</v>
      </c>
      <c r="L4" s="98" t="s">
        <v>369</v>
      </c>
      <c r="M4" s="33" t="s">
        <v>22</v>
      </c>
      <c r="N4" s="23" t="s">
        <v>77</v>
      </c>
      <c r="O4" s="49" t="s">
        <v>78</v>
      </c>
    </row>
    <row r="5" spans="1:15" ht="49.5" customHeight="1" x14ac:dyDescent="0.25">
      <c r="A5" s="31">
        <v>1198098</v>
      </c>
      <c r="B5" s="33" t="s">
        <v>363</v>
      </c>
      <c r="C5" s="91" t="s">
        <v>378</v>
      </c>
      <c r="D5" s="93" t="s">
        <v>379</v>
      </c>
      <c r="E5" s="92" t="s">
        <v>380</v>
      </c>
      <c r="F5" s="92" t="s">
        <v>381</v>
      </c>
      <c r="G5" s="92" t="s">
        <v>377</v>
      </c>
      <c r="H5" s="35" t="s">
        <v>17</v>
      </c>
      <c r="I5" s="35" t="s">
        <v>73</v>
      </c>
      <c r="J5" s="35" t="s">
        <v>19</v>
      </c>
      <c r="K5" s="98" t="s">
        <v>74</v>
      </c>
      <c r="L5" s="98" t="s">
        <v>369</v>
      </c>
      <c r="M5" s="33" t="s">
        <v>22</v>
      </c>
      <c r="N5" s="23" t="s">
        <v>77</v>
      </c>
      <c r="O5" s="33" t="s">
        <v>78</v>
      </c>
    </row>
    <row r="6" spans="1:15" ht="54.75" customHeight="1" x14ac:dyDescent="0.25">
      <c r="A6" s="31">
        <v>1198099</v>
      </c>
      <c r="B6" s="33" t="s">
        <v>363</v>
      </c>
      <c r="C6" s="91" t="s">
        <v>382</v>
      </c>
      <c r="D6" s="93" t="s">
        <v>383</v>
      </c>
      <c r="E6" s="92" t="s">
        <v>384</v>
      </c>
      <c r="F6" s="92" t="s">
        <v>385</v>
      </c>
      <c r="G6" s="92" t="s">
        <v>386</v>
      </c>
      <c r="H6" s="35" t="s">
        <v>387</v>
      </c>
      <c r="I6" s="35" t="s">
        <v>73</v>
      </c>
      <c r="J6" s="35" t="s">
        <v>103</v>
      </c>
      <c r="K6" s="98" t="s">
        <v>74</v>
      </c>
      <c r="L6" s="98" t="s">
        <v>369</v>
      </c>
      <c r="M6" s="33" t="s">
        <v>22</v>
      </c>
      <c r="N6" s="23" t="s">
        <v>77</v>
      </c>
      <c r="O6" s="49" t="s">
        <v>78</v>
      </c>
    </row>
    <row r="7" spans="1:15" ht="53.25" customHeight="1" x14ac:dyDescent="0.25">
      <c r="A7" s="31">
        <v>1198100</v>
      </c>
      <c r="B7" s="33" t="s">
        <v>363</v>
      </c>
      <c r="C7" s="91" t="s">
        <v>388</v>
      </c>
      <c r="D7" s="93" t="s">
        <v>389</v>
      </c>
      <c r="E7" s="92" t="s">
        <v>390</v>
      </c>
      <c r="F7" s="92" t="s">
        <v>391</v>
      </c>
      <c r="G7" s="92" t="s">
        <v>386</v>
      </c>
      <c r="H7" s="35" t="s">
        <v>387</v>
      </c>
      <c r="I7" s="35" t="s">
        <v>73</v>
      </c>
      <c r="J7" s="35" t="s">
        <v>103</v>
      </c>
      <c r="K7" s="98" t="s">
        <v>74</v>
      </c>
      <c r="L7" s="98" t="s">
        <v>369</v>
      </c>
      <c r="M7" s="33" t="s">
        <v>22</v>
      </c>
      <c r="N7" s="23" t="s">
        <v>77</v>
      </c>
      <c r="O7" s="33" t="s">
        <v>78</v>
      </c>
    </row>
    <row r="8" spans="1:15" ht="52.5" customHeight="1" x14ac:dyDescent="0.25">
      <c r="A8" s="31">
        <v>1198101</v>
      </c>
      <c r="B8" s="33" t="s">
        <v>363</v>
      </c>
      <c r="C8" s="91" t="s">
        <v>392</v>
      </c>
      <c r="D8" s="93" t="s">
        <v>393</v>
      </c>
      <c r="E8" s="92" t="s">
        <v>394</v>
      </c>
      <c r="F8" s="92" t="s">
        <v>395</v>
      </c>
      <c r="G8" s="92" t="s">
        <v>396</v>
      </c>
      <c r="H8" s="35" t="s">
        <v>387</v>
      </c>
      <c r="I8" s="35" t="s">
        <v>73</v>
      </c>
      <c r="J8" s="35" t="s">
        <v>19</v>
      </c>
      <c r="K8" s="98" t="s">
        <v>74</v>
      </c>
      <c r="L8" s="98" t="s">
        <v>369</v>
      </c>
      <c r="M8" s="33" t="s">
        <v>22</v>
      </c>
      <c r="N8" s="23" t="s">
        <v>77</v>
      </c>
      <c r="O8" s="49" t="s">
        <v>78</v>
      </c>
    </row>
    <row r="9" spans="1:15" ht="47.25" customHeight="1" x14ac:dyDescent="0.25">
      <c r="A9" s="31">
        <v>1198102</v>
      </c>
      <c r="B9" s="33" t="s">
        <v>363</v>
      </c>
      <c r="C9" s="91" t="s">
        <v>397</v>
      </c>
      <c r="D9" s="93" t="s">
        <v>398</v>
      </c>
      <c r="E9" s="92" t="s">
        <v>399</v>
      </c>
      <c r="F9" s="92" t="s">
        <v>400</v>
      </c>
      <c r="G9" s="92" t="s">
        <v>396</v>
      </c>
      <c r="H9" s="35" t="s">
        <v>387</v>
      </c>
      <c r="I9" s="35" t="s">
        <v>73</v>
      </c>
      <c r="J9" s="35" t="s">
        <v>19</v>
      </c>
      <c r="K9" s="98" t="s">
        <v>74</v>
      </c>
      <c r="L9" s="98" t="s">
        <v>369</v>
      </c>
      <c r="M9" s="33" t="s">
        <v>22</v>
      </c>
      <c r="N9" s="23" t="s">
        <v>77</v>
      </c>
      <c r="O9" s="33" t="s">
        <v>78</v>
      </c>
    </row>
    <row r="10" spans="1:15" ht="57" customHeight="1" x14ac:dyDescent="0.25">
      <c r="A10" s="31">
        <v>1198103</v>
      </c>
      <c r="B10" s="33" t="s">
        <v>363</v>
      </c>
      <c r="C10" s="91" t="s">
        <v>401</v>
      </c>
      <c r="D10" s="93" t="s">
        <v>402</v>
      </c>
      <c r="E10" s="92" t="s">
        <v>366</v>
      </c>
      <c r="F10" s="92" t="s">
        <v>403</v>
      </c>
      <c r="G10" s="92" t="s">
        <v>404</v>
      </c>
      <c r="H10" s="35" t="s">
        <v>17</v>
      </c>
      <c r="I10" s="35" t="s">
        <v>73</v>
      </c>
      <c r="J10" s="35" t="s">
        <v>19</v>
      </c>
      <c r="K10" s="98" t="s">
        <v>74</v>
      </c>
      <c r="L10" s="98" t="s">
        <v>369</v>
      </c>
      <c r="M10" s="33" t="s">
        <v>76</v>
      </c>
      <c r="N10" s="23" t="s">
        <v>77</v>
      </c>
      <c r="O10" s="49" t="s">
        <v>78</v>
      </c>
    </row>
    <row r="11" spans="1:15" ht="54" customHeight="1" x14ac:dyDescent="0.25">
      <c r="A11" s="31">
        <v>1198104</v>
      </c>
      <c r="B11" s="33" t="s">
        <v>363</v>
      </c>
      <c r="C11" s="91" t="s">
        <v>405</v>
      </c>
      <c r="D11" s="93" t="s">
        <v>406</v>
      </c>
      <c r="E11" s="92" t="s">
        <v>366</v>
      </c>
      <c r="F11" s="92" t="s">
        <v>407</v>
      </c>
      <c r="G11" s="92" t="s">
        <v>408</v>
      </c>
      <c r="H11" s="35" t="s">
        <v>17</v>
      </c>
      <c r="I11" s="35" t="s">
        <v>73</v>
      </c>
      <c r="J11" s="35" t="s">
        <v>19</v>
      </c>
      <c r="K11" s="98" t="s">
        <v>74</v>
      </c>
      <c r="L11" s="98" t="s">
        <v>369</v>
      </c>
      <c r="M11" s="33" t="s">
        <v>76</v>
      </c>
      <c r="N11" s="23" t="s">
        <v>77</v>
      </c>
      <c r="O11" s="33" t="s">
        <v>78</v>
      </c>
    </row>
    <row r="12" spans="1:15" ht="58.5" customHeight="1" x14ac:dyDescent="0.25">
      <c r="A12" s="31">
        <v>1198105</v>
      </c>
      <c r="B12" s="33" t="s">
        <v>363</v>
      </c>
      <c r="C12" s="91" t="s">
        <v>409</v>
      </c>
      <c r="D12" s="93" t="s">
        <v>410</v>
      </c>
      <c r="E12" s="92" t="s">
        <v>366</v>
      </c>
      <c r="F12" s="92" t="s">
        <v>411</v>
      </c>
      <c r="G12" s="92" t="s">
        <v>412</v>
      </c>
      <c r="H12" s="35" t="s">
        <v>17</v>
      </c>
      <c r="I12" s="35" t="s">
        <v>73</v>
      </c>
      <c r="J12" s="35" t="s">
        <v>19</v>
      </c>
      <c r="K12" s="98" t="s">
        <v>74</v>
      </c>
      <c r="L12" s="98" t="s">
        <v>369</v>
      </c>
      <c r="M12" s="33" t="s">
        <v>76</v>
      </c>
      <c r="N12" s="23" t="s">
        <v>77</v>
      </c>
      <c r="O12" s="49" t="s">
        <v>78</v>
      </c>
    </row>
    <row r="13" spans="1:15" ht="57.75" customHeight="1" x14ac:dyDescent="0.25">
      <c r="A13" s="31">
        <v>1198106</v>
      </c>
      <c r="B13" s="33" t="s">
        <v>363</v>
      </c>
      <c r="C13" s="91" t="s">
        <v>413</v>
      </c>
      <c r="D13" s="93" t="s">
        <v>414</v>
      </c>
      <c r="E13" s="92" t="s">
        <v>366</v>
      </c>
      <c r="F13" s="92" t="s">
        <v>415</v>
      </c>
      <c r="G13" s="92" t="s">
        <v>412</v>
      </c>
      <c r="H13" s="35" t="s">
        <v>17</v>
      </c>
      <c r="I13" s="35" t="s">
        <v>73</v>
      </c>
      <c r="J13" s="35" t="s">
        <v>19</v>
      </c>
      <c r="K13" s="98" t="s">
        <v>74</v>
      </c>
      <c r="L13" s="98" t="s">
        <v>369</v>
      </c>
      <c r="M13" s="33" t="s">
        <v>76</v>
      </c>
      <c r="N13" s="23" t="s">
        <v>77</v>
      </c>
      <c r="O13" s="33" t="s">
        <v>78</v>
      </c>
    </row>
    <row r="14" spans="1:15" ht="54.75" customHeight="1" x14ac:dyDescent="0.25">
      <c r="A14" s="31">
        <v>1198107</v>
      </c>
      <c r="B14" s="33" t="s">
        <v>363</v>
      </c>
      <c r="C14" s="91" t="s">
        <v>416</v>
      </c>
      <c r="D14" s="93" t="s">
        <v>417</v>
      </c>
      <c r="E14" s="92" t="s">
        <v>384</v>
      </c>
      <c r="F14" s="92" t="s">
        <v>385</v>
      </c>
      <c r="G14" s="92" t="s">
        <v>386</v>
      </c>
      <c r="H14" s="35" t="s">
        <v>387</v>
      </c>
      <c r="I14" s="35" t="s">
        <v>73</v>
      </c>
      <c r="J14" s="35" t="s">
        <v>103</v>
      </c>
      <c r="K14" s="98" t="s">
        <v>74</v>
      </c>
      <c r="L14" s="98" t="s">
        <v>369</v>
      </c>
      <c r="M14" s="33" t="s">
        <v>113</v>
      </c>
      <c r="N14" s="23" t="s">
        <v>77</v>
      </c>
      <c r="O14" s="49" t="s">
        <v>78</v>
      </c>
    </row>
    <row r="15" spans="1:15" ht="55.5" customHeight="1" x14ac:dyDescent="0.25">
      <c r="A15" s="31">
        <v>1198108</v>
      </c>
      <c r="B15" s="33" t="s">
        <v>363</v>
      </c>
      <c r="C15" s="91" t="s">
        <v>418</v>
      </c>
      <c r="D15" s="93" t="s">
        <v>419</v>
      </c>
      <c r="E15" s="92" t="s">
        <v>390</v>
      </c>
      <c r="F15" s="92" t="s">
        <v>391</v>
      </c>
      <c r="G15" s="92" t="s">
        <v>386</v>
      </c>
      <c r="H15" s="35" t="s">
        <v>387</v>
      </c>
      <c r="I15" s="35" t="s">
        <v>73</v>
      </c>
      <c r="J15" s="35" t="s">
        <v>103</v>
      </c>
      <c r="K15" s="98" t="s">
        <v>74</v>
      </c>
      <c r="L15" s="98" t="s">
        <v>369</v>
      </c>
      <c r="M15" s="33" t="s">
        <v>22</v>
      </c>
      <c r="N15" s="23" t="s">
        <v>77</v>
      </c>
      <c r="O15" s="33" t="s">
        <v>78</v>
      </c>
    </row>
    <row r="16" spans="1:15" ht="30.75" customHeight="1" x14ac:dyDescent="0.25">
      <c r="A16" s="31">
        <v>1198109</v>
      </c>
      <c r="B16" s="33" t="s">
        <v>363</v>
      </c>
      <c r="C16" s="91" t="s">
        <v>420</v>
      </c>
      <c r="D16" s="93" t="s">
        <v>421</v>
      </c>
      <c r="E16" s="92" t="s">
        <v>422</v>
      </c>
      <c r="F16" s="93" t="s">
        <v>423</v>
      </c>
      <c r="G16" s="93" t="s">
        <v>424</v>
      </c>
      <c r="H16" s="35" t="s">
        <v>17</v>
      </c>
      <c r="I16" s="35" t="s">
        <v>73</v>
      </c>
      <c r="J16" s="35" t="s">
        <v>19</v>
      </c>
      <c r="K16" s="98" t="s">
        <v>74</v>
      </c>
      <c r="L16" s="98" t="s">
        <v>369</v>
      </c>
      <c r="M16" s="33" t="s">
        <v>76</v>
      </c>
      <c r="N16" s="23" t="s">
        <v>77</v>
      </c>
      <c r="O16" s="49" t="s">
        <v>78</v>
      </c>
    </row>
    <row r="17" ht="13.5" customHeight="1" x14ac:dyDescent="0.25"/>
    <row r="18" ht="13.5" customHeight="1" x14ac:dyDescent="0.25"/>
  </sheetData>
  <phoneticPr fontId="1" type="noConversion"/>
  <dataValidations count="2">
    <dataValidation type="list" allowBlank="1" showInputMessage="1" showErrorMessage="1" sqref="M2:N16" xr:uid="{00000000-0002-0000-0600-000000000000}">
      <formula1>"Y, N"</formula1>
    </dataValidation>
    <dataValidation type="list" allowBlank="1" showInputMessage="1" showErrorMessage="1" sqref="L2:L16" xr:uid="{00000000-0002-0000-0600-000001000000}">
      <formula1>"smoke, sanity, full"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1"/>
  <sheetViews>
    <sheetView topLeftCell="E64" workbookViewId="0">
      <selection activeCell="D108" sqref="D108"/>
    </sheetView>
  </sheetViews>
  <sheetFormatPr defaultColWidth="8.7265625" defaultRowHeight="14" x14ac:dyDescent="0.25"/>
  <cols>
    <col min="1" max="1" width="25.453125" style="30" customWidth="1"/>
    <col min="2" max="2" width="25.453125" style="17" customWidth="1"/>
    <col min="3" max="3" width="39.26953125" style="17" bestFit="1" customWidth="1"/>
    <col min="4" max="4" width="51.90625" style="9" customWidth="1"/>
    <col min="5" max="5" width="47.7265625" style="17" customWidth="1"/>
    <col min="6" max="6" width="46.36328125" style="17" customWidth="1"/>
    <col min="7" max="7" width="33.26953125" style="17" customWidth="1"/>
    <col min="8" max="8" width="8.7265625" style="17" customWidth="1"/>
    <col min="9" max="9" width="20.08984375" style="17" customWidth="1"/>
    <col min="10" max="10" width="16.7265625" style="17" customWidth="1"/>
    <col min="11" max="11" width="6.36328125" style="17" bestFit="1" customWidth="1"/>
    <col min="12" max="12" width="23.36328125" style="17" bestFit="1" customWidth="1"/>
    <col min="13" max="13" width="10.08984375" style="17" bestFit="1" customWidth="1"/>
    <col min="14" max="14" width="12.08984375" style="17" bestFit="1" customWidth="1"/>
    <col min="15" max="15" width="14.90625" style="17" bestFit="1" customWidth="1"/>
    <col min="16" max="16" width="18.26953125" style="17" bestFit="1" customWidth="1"/>
    <col min="17" max="17" width="8.7265625" style="17" customWidth="1"/>
    <col min="18" max="16384" width="8.7265625" style="17"/>
  </cols>
  <sheetData>
    <row r="1" spans="1:16" s="51" customFormat="1" ht="12.75" customHeight="1" x14ac:dyDescent="0.3">
      <c r="A1" s="124" t="s">
        <v>57</v>
      </c>
      <c r="B1" s="87" t="s">
        <v>58</v>
      </c>
      <c r="C1" s="51" t="s">
        <v>0</v>
      </c>
      <c r="D1" s="70" t="s">
        <v>1</v>
      </c>
      <c r="E1" s="51" t="s">
        <v>2</v>
      </c>
      <c r="F1" s="51" t="s">
        <v>59</v>
      </c>
      <c r="G1" s="51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5" t="s">
        <v>11</v>
      </c>
      <c r="O1" s="66" t="s">
        <v>66</v>
      </c>
    </row>
    <row r="2" spans="1:16" s="10" customFormat="1" ht="54.75" customHeight="1" x14ac:dyDescent="0.25">
      <c r="A2" s="30">
        <v>1198430</v>
      </c>
      <c r="B2" s="118" t="s">
        <v>425</v>
      </c>
      <c r="C2" s="23" t="s">
        <v>426</v>
      </c>
      <c r="D2" s="24" t="s">
        <v>427</v>
      </c>
      <c r="E2" s="25" t="s">
        <v>14</v>
      </c>
      <c r="F2" s="24" t="s">
        <v>15</v>
      </c>
      <c r="G2" s="24" t="s">
        <v>16</v>
      </c>
      <c r="H2" s="23" t="s">
        <v>17</v>
      </c>
      <c r="I2" s="23" t="s">
        <v>73</v>
      </c>
      <c r="J2" s="23" t="s">
        <v>103</v>
      </c>
      <c r="K2" s="24" t="s">
        <v>20</v>
      </c>
      <c r="L2" s="24" t="s">
        <v>428</v>
      </c>
      <c r="M2" s="23" t="s">
        <v>22</v>
      </c>
      <c r="N2" s="23" t="s">
        <v>23</v>
      </c>
      <c r="O2" s="23" t="s">
        <v>429</v>
      </c>
    </row>
    <row r="3" spans="1:16" ht="68.25" customHeight="1" x14ac:dyDescent="0.25">
      <c r="A3" s="30">
        <v>1198431</v>
      </c>
      <c r="B3" s="118" t="s">
        <v>425</v>
      </c>
      <c r="C3" s="23" t="s">
        <v>430</v>
      </c>
      <c r="D3" s="24" t="s">
        <v>431</v>
      </c>
      <c r="E3" s="25" t="s">
        <v>14</v>
      </c>
      <c r="F3" s="24" t="s">
        <v>432</v>
      </c>
      <c r="G3" s="24" t="s">
        <v>433</v>
      </c>
      <c r="H3" s="23" t="s">
        <v>17</v>
      </c>
      <c r="I3" s="23" t="s">
        <v>73</v>
      </c>
      <c r="J3" s="23" t="s">
        <v>103</v>
      </c>
      <c r="K3" s="24" t="s">
        <v>20</v>
      </c>
      <c r="L3" s="24" t="s">
        <v>428</v>
      </c>
      <c r="M3" s="23" t="s">
        <v>22</v>
      </c>
      <c r="N3" s="23" t="s">
        <v>23</v>
      </c>
      <c r="O3" s="23" t="s">
        <v>429</v>
      </c>
    </row>
    <row r="4" spans="1:16" ht="68.25" customHeight="1" x14ac:dyDescent="0.25">
      <c r="A4" s="30">
        <v>1198432</v>
      </c>
      <c r="B4" s="118" t="s">
        <v>425</v>
      </c>
      <c r="C4" s="23" t="s">
        <v>434</v>
      </c>
      <c r="D4" s="24" t="s">
        <v>435</v>
      </c>
      <c r="E4" s="25" t="s">
        <v>14</v>
      </c>
      <c r="F4" s="24" t="s">
        <v>436</v>
      </c>
      <c r="G4" s="24" t="s">
        <v>437</v>
      </c>
      <c r="H4" s="23" t="s">
        <v>17</v>
      </c>
      <c r="I4" s="23" t="s">
        <v>73</v>
      </c>
      <c r="J4" s="23" t="s">
        <v>103</v>
      </c>
      <c r="K4" s="24" t="s">
        <v>20</v>
      </c>
      <c r="L4" s="24" t="s">
        <v>428</v>
      </c>
      <c r="M4" s="23" t="s">
        <v>22</v>
      </c>
      <c r="N4" s="23" t="s">
        <v>23</v>
      </c>
      <c r="O4" s="23" t="s">
        <v>429</v>
      </c>
    </row>
    <row r="5" spans="1:16" ht="96" customHeight="1" x14ac:dyDescent="0.25">
      <c r="A5" s="30">
        <v>1198433</v>
      </c>
      <c r="B5" s="118" t="s">
        <v>425</v>
      </c>
      <c r="C5" s="23" t="s">
        <v>438</v>
      </c>
      <c r="D5" s="24" t="s">
        <v>439</v>
      </c>
      <c r="E5" s="25" t="s">
        <v>14</v>
      </c>
      <c r="F5" s="24" t="s">
        <v>440</v>
      </c>
      <c r="G5" s="24" t="s">
        <v>441</v>
      </c>
      <c r="H5" s="23" t="s">
        <v>17</v>
      </c>
      <c r="I5" s="23" t="s">
        <v>73</v>
      </c>
      <c r="J5" s="23" t="s">
        <v>103</v>
      </c>
      <c r="K5" s="24" t="s">
        <v>74</v>
      </c>
      <c r="L5" s="24" t="s">
        <v>428</v>
      </c>
      <c r="M5" s="23" t="s">
        <v>22</v>
      </c>
      <c r="N5" s="23" t="s">
        <v>23</v>
      </c>
      <c r="O5" s="23" t="s">
        <v>429</v>
      </c>
    </row>
    <row r="6" spans="1:16" ht="68.25" customHeight="1" x14ac:dyDescent="0.25">
      <c r="A6" s="30">
        <v>1198434</v>
      </c>
      <c r="B6" s="118" t="s">
        <v>425</v>
      </c>
      <c r="C6" s="23" t="s">
        <v>442</v>
      </c>
      <c r="D6" s="24" t="s">
        <v>443</v>
      </c>
      <c r="E6" s="25" t="s">
        <v>14</v>
      </c>
      <c r="F6" s="24" t="s">
        <v>444</v>
      </c>
      <c r="G6" s="24" t="s">
        <v>445</v>
      </c>
      <c r="H6" s="23" t="s">
        <v>17</v>
      </c>
      <c r="I6" s="23" t="s">
        <v>73</v>
      </c>
      <c r="J6" s="23" t="s">
        <v>103</v>
      </c>
      <c r="K6" s="24" t="s">
        <v>74</v>
      </c>
      <c r="L6" s="24" t="s">
        <v>428</v>
      </c>
      <c r="M6" s="23" t="s">
        <v>22</v>
      </c>
      <c r="N6" s="23" t="s">
        <v>23</v>
      </c>
      <c r="O6" s="23" t="s">
        <v>446</v>
      </c>
    </row>
    <row r="7" spans="1:16" ht="109.5" customHeight="1" x14ac:dyDescent="0.25">
      <c r="A7" s="30">
        <v>1198435</v>
      </c>
      <c r="B7" s="118" t="s">
        <v>425</v>
      </c>
      <c r="C7" s="23" t="s">
        <v>447</v>
      </c>
      <c r="D7" s="24" t="s">
        <v>439</v>
      </c>
      <c r="E7" s="25" t="s">
        <v>14</v>
      </c>
      <c r="F7" s="24" t="s">
        <v>448</v>
      </c>
      <c r="G7" s="24" t="s">
        <v>449</v>
      </c>
      <c r="H7" s="23" t="s">
        <v>17</v>
      </c>
      <c r="I7" s="23" t="s">
        <v>73</v>
      </c>
      <c r="J7" s="23" t="s">
        <v>103</v>
      </c>
      <c r="K7" s="24" t="s">
        <v>74</v>
      </c>
      <c r="L7" s="24" t="s">
        <v>428</v>
      </c>
      <c r="M7" s="23" t="s">
        <v>22</v>
      </c>
      <c r="N7" s="23" t="s">
        <v>23</v>
      </c>
      <c r="O7" s="23" t="s">
        <v>446</v>
      </c>
    </row>
    <row r="8" spans="1:16" ht="82.5" customHeight="1" x14ac:dyDescent="0.25">
      <c r="A8" s="30">
        <v>1198436</v>
      </c>
      <c r="B8" s="118" t="s">
        <v>425</v>
      </c>
      <c r="C8" s="23" t="s">
        <v>450</v>
      </c>
      <c r="D8" s="24" t="s">
        <v>451</v>
      </c>
      <c r="E8" s="25" t="s">
        <v>14</v>
      </c>
      <c r="F8" s="24" t="s">
        <v>452</v>
      </c>
      <c r="G8" s="24" t="s">
        <v>453</v>
      </c>
      <c r="H8" s="23" t="s">
        <v>17</v>
      </c>
      <c r="I8" s="23" t="s">
        <v>73</v>
      </c>
      <c r="J8" s="23" t="s">
        <v>103</v>
      </c>
      <c r="K8" s="24" t="s">
        <v>20</v>
      </c>
      <c r="L8" s="24" t="s">
        <v>428</v>
      </c>
      <c r="M8" s="23" t="s">
        <v>22</v>
      </c>
      <c r="N8" s="23" t="s">
        <v>23</v>
      </c>
      <c r="O8" s="23" t="s">
        <v>446</v>
      </c>
      <c r="P8" s="12"/>
    </row>
    <row r="9" spans="1:16" ht="96" customHeight="1" x14ac:dyDescent="0.25">
      <c r="A9" s="30">
        <v>1198437</v>
      </c>
      <c r="B9" s="118" t="s">
        <v>425</v>
      </c>
      <c r="C9" s="23" t="s">
        <v>454</v>
      </c>
      <c r="D9" s="24" t="s">
        <v>455</v>
      </c>
      <c r="E9" s="25" t="s">
        <v>14</v>
      </c>
      <c r="F9" s="25" t="s">
        <v>456</v>
      </c>
      <c r="G9" s="25" t="s">
        <v>457</v>
      </c>
      <c r="H9" s="23" t="s">
        <v>17</v>
      </c>
      <c r="I9" s="23" t="s">
        <v>73</v>
      </c>
      <c r="J9" s="23" t="s">
        <v>103</v>
      </c>
      <c r="K9" s="24" t="s">
        <v>20</v>
      </c>
      <c r="L9" s="24" t="s">
        <v>428</v>
      </c>
      <c r="M9" s="23" t="s">
        <v>22</v>
      </c>
      <c r="N9" s="23" t="s">
        <v>23</v>
      </c>
      <c r="O9" s="23" t="s">
        <v>446</v>
      </c>
      <c r="P9" s="14"/>
    </row>
    <row r="10" spans="1:16" ht="96" customHeight="1" x14ac:dyDescent="0.25">
      <c r="A10" s="30">
        <v>1198438</v>
      </c>
      <c r="B10" s="118" t="s">
        <v>425</v>
      </c>
      <c r="C10" s="23" t="s">
        <v>458</v>
      </c>
      <c r="D10" s="24" t="s">
        <v>459</v>
      </c>
      <c r="E10" s="25" t="s">
        <v>14</v>
      </c>
      <c r="F10" s="24" t="s">
        <v>460</v>
      </c>
      <c r="G10" s="24" t="s">
        <v>461</v>
      </c>
      <c r="H10" s="23" t="s">
        <v>17</v>
      </c>
      <c r="I10" s="23" t="s">
        <v>73</v>
      </c>
      <c r="J10" s="23" t="s">
        <v>103</v>
      </c>
      <c r="K10" s="24" t="s">
        <v>74</v>
      </c>
      <c r="L10" s="24" t="s">
        <v>428</v>
      </c>
      <c r="M10" s="23" t="s">
        <v>22</v>
      </c>
      <c r="N10" s="23" t="s">
        <v>23</v>
      </c>
      <c r="O10" s="23" t="s">
        <v>446</v>
      </c>
      <c r="P10" s="14"/>
    </row>
    <row r="11" spans="1:16" ht="82.5" customHeight="1" x14ac:dyDescent="0.25">
      <c r="A11" s="30">
        <v>1198439</v>
      </c>
      <c r="B11" s="118" t="s">
        <v>425</v>
      </c>
      <c r="C11" s="23" t="s">
        <v>462</v>
      </c>
      <c r="D11" s="24" t="s">
        <v>463</v>
      </c>
      <c r="E11" s="25" t="s">
        <v>14</v>
      </c>
      <c r="F11" s="24" t="s">
        <v>464</v>
      </c>
      <c r="G11" s="24" t="s">
        <v>465</v>
      </c>
      <c r="H11" s="23" t="s">
        <v>17</v>
      </c>
      <c r="I11" s="23" t="s">
        <v>73</v>
      </c>
      <c r="J11" s="10" t="s">
        <v>466</v>
      </c>
      <c r="K11" s="24" t="s">
        <v>20</v>
      </c>
      <c r="L11" s="24" t="s">
        <v>428</v>
      </c>
      <c r="M11" s="23" t="s">
        <v>22</v>
      </c>
      <c r="N11" s="23" t="s">
        <v>23</v>
      </c>
      <c r="O11" s="23"/>
    </row>
    <row r="12" spans="1:16" ht="82.5" customHeight="1" x14ac:dyDescent="0.25">
      <c r="A12" s="30">
        <v>1198440</v>
      </c>
      <c r="B12" s="118" t="s">
        <v>425</v>
      </c>
      <c r="C12" s="23" t="s">
        <v>467</v>
      </c>
      <c r="D12" s="24" t="s">
        <v>468</v>
      </c>
      <c r="E12" s="25" t="s">
        <v>14</v>
      </c>
      <c r="F12" s="24" t="s">
        <v>469</v>
      </c>
      <c r="G12" s="24" t="s">
        <v>470</v>
      </c>
      <c r="H12" s="23" t="s">
        <v>17</v>
      </c>
      <c r="I12" s="23" t="s">
        <v>73</v>
      </c>
      <c r="J12" s="10" t="s">
        <v>466</v>
      </c>
      <c r="K12" s="24" t="s">
        <v>20</v>
      </c>
      <c r="L12" s="24" t="s">
        <v>428</v>
      </c>
      <c r="M12" s="23" t="s">
        <v>22</v>
      </c>
      <c r="N12" s="23" t="s">
        <v>23</v>
      </c>
      <c r="O12" s="23"/>
    </row>
    <row r="13" spans="1:16" ht="82.5" customHeight="1" x14ac:dyDescent="0.25">
      <c r="A13" s="30">
        <v>1198441</v>
      </c>
      <c r="B13" s="118" t="s">
        <v>425</v>
      </c>
      <c r="C13" s="23" t="s">
        <v>471</v>
      </c>
      <c r="D13" s="25" t="s">
        <v>472</v>
      </c>
      <c r="E13" s="25" t="s">
        <v>14</v>
      </c>
      <c r="F13" s="24" t="s">
        <v>473</v>
      </c>
      <c r="G13" s="24" t="s">
        <v>474</v>
      </c>
      <c r="H13" s="23" t="s">
        <v>17</v>
      </c>
      <c r="I13" s="23" t="s">
        <v>73</v>
      </c>
      <c r="J13" s="10" t="s">
        <v>466</v>
      </c>
      <c r="K13" s="24" t="s">
        <v>20</v>
      </c>
      <c r="L13" s="24" t="s">
        <v>428</v>
      </c>
      <c r="M13" s="23" t="s">
        <v>22</v>
      </c>
      <c r="N13" s="23" t="s">
        <v>23</v>
      </c>
      <c r="O13" s="23" t="s">
        <v>446</v>
      </c>
      <c r="P13" s="12"/>
    </row>
    <row r="14" spans="1:16" ht="96" customHeight="1" x14ac:dyDescent="0.25">
      <c r="A14" s="30">
        <v>1198442</v>
      </c>
      <c r="B14" s="118" t="s">
        <v>425</v>
      </c>
      <c r="C14" s="23" t="s">
        <v>475</v>
      </c>
      <c r="D14" s="25" t="s">
        <v>476</v>
      </c>
      <c r="E14" s="25" t="s">
        <v>14</v>
      </c>
      <c r="F14" s="24" t="s">
        <v>477</v>
      </c>
      <c r="G14" s="24" t="s">
        <v>478</v>
      </c>
      <c r="H14" s="23" t="s">
        <v>17</v>
      </c>
      <c r="I14" s="23" t="s">
        <v>73</v>
      </c>
      <c r="J14" s="10" t="s">
        <v>466</v>
      </c>
      <c r="K14" s="24" t="s">
        <v>20</v>
      </c>
      <c r="L14" s="24" t="s">
        <v>428</v>
      </c>
      <c r="M14" s="23" t="s">
        <v>22</v>
      </c>
      <c r="N14" s="23" t="s">
        <v>23</v>
      </c>
      <c r="O14" s="23" t="s">
        <v>446</v>
      </c>
      <c r="P14" s="12"/>
    </row>
    <row r="15" spans="1:16" ht="54.75" customHeight="1" x14ac:dyDescent="0.25">
      <c r="A15" s="30">
        <v>1198443</v>
      </c>
      <c r="B15" s="118" t="s">
        <v>425</v>
      </c>
      <c r="C15" s="23" t="s">
        <v>479</v>
      </c>
      <c r="D15" s="25" t="s">
        <v>480</v>
      </c>
      <c r="E15" s="25" t="s">
        <v>14</v>
      </c>
      <c r="F15" s="24" t="s">
        <v>481</v>
      </c>
      <c r="G15" s="25" t="s">
        <v>482</v>
      </c>
      <c r="H15" s="23" t="s">
        <v>17</v>
      </c>
      <c r="I15" s="23" t="s">
        <v>73</v>
      </c>
      <c r="J15" s="23" t="s">
        <v>103</v>
      </c>
      <c r="K15" s="24" t="s">
        <v>20</v>
      </c>
      <c r="L15" s="24" t="s">
        <v>428</v>
      </c>
      <c r="M15" s="23" t="s">
        <v>22</v>
      </c>
      <c r="N15" s="23" t="s">
        <v>23</v>
      </c>
      <c r="O15" s="23" t="s">
        <v>446</v>
      </c>
      <c r="P15" s="10"/>
    </row>
    <row r="16" spans="1:16" ht="54.75" customHeight="1" x14ac:dyDescent="0.25">
      <c r="A16" s="30">
        <v>1198444</v>
      </c>
      <c r="B16" s="118" t="s">
        <v>425</v>
      </c>
      <c r="C16" s="23" t="s">
        <v>483</v>
      </c>
      <c r="D16" s="25" t="s">
        <v>484</v>
      </c>
      <c r="E16" s="25" t="s">
        <v>14</v>
      </c>
      <c r="F16" s="24" t="s">
        <v>485</v>
      </c>
      <c r="G16" s="25" t="s">
        <v>486</v>
      </c>
      <c r="H16" s="23" t="s">
        <v>17</v>
      </c>
      <c r="I16" s="23" t="s">
        <v>73</v>
      </c>
      <c r="J16" s="23" t="s">
        <v>103</v>
      </c>
      <c r="K16" s="24" t="s">
        <v>20</v>
      </c>
      <c r="L16" s="24" t="s">
        <v>428</v>
      </c>
      <c r="M16" s="23" t="s">
        <v>22</v>
      </c>
      <c r="N16" s="23" t="s">
        <v>23</v>
      </c>
      <c r="O16" s="23" t="s">
        <v>446</v>
      </c>
    </row>
    <row r="17" spans="1:16" ht="82.5" customHeight="1" x14ac:dyDescent="0.25">
      <c r="A17" s="30">
        <v>1198445</v>
      </c>
      <c r="B17" s="118" t="s">
        <v>425</v>
      </c>
      <c r="C17" s="23" t="s">
        <v>487</v>
      </c>
      <c r="D17" s="24" t="s">
        <v>488</v>
      </c>
      <c r="E17" s="25" t="s">
        <v>14</v>
      </c>
      <c r="F17" s="24" t="s">
        <v>489</v>
      </c>
      <c r="G17" s="24" t="s">
        <v>490</v>
      </c>
      <c r="H17" s="23" t="s">
        <v>17</v>
      </c>
      <c r="I17" s="23" t="s">
        <v>73</v>
      </c>
      <c r="J17" s="23" t="s">
        <v>103</v>
      </c>
      <c r="K17" s="24" t="s">
        <v>74</v>
      </c>
      <c r="L17" s="24" t="s">
        <v>428</v>
      </c>
      <c r="M17" s="23" t="s">
        <v>22</v>
      </c>
      <c r="N17" s="23" t="s">
        <v>23</v>
      </c>
      <c r="O17" s="23" t="s">
        <v>491</v>
      </c>
      <c r="P17" s="10"/>
    </row>
    <row r="18" spans="1:16" ht="82.5" customHeight="1" x14ac:dyDescent="0.25">
      <c r="A18" s="30">
        <v>1198446</v>
      </c>
      <c r="B18" s="118" t="s">
        <v>425</v>
      </c>
      <c r="C18" s="23" t="s">
        <v>492</v>
      </c>
      <c r="D18" s="24" t="s">
        <v>493</v>
      </c>
      <c r="E18" s="25" t="s">
        <v>14</v>
      </c>
      <c r="F18" s="24" t="s">
        <v>494</v>
      </c>
      <c r="G18" s="24" t="s">
        <v>490</v>
      </c>
      <c r="H18" s="23" t="s">
        <v>17</v>
      </c>
      <c r="I18" s="23" t="s">
        <v>73</v>
      </c>
      <c r="J18" s="23" t="s">
        <v>103</v>
      </c>
      <c r="K18" s="24" t="s">
        <v>74</v>
      </c>
      <c r="L18" s="24" t="s">
        <v>428</v>
      </c>
      <c r="M18" s="23" t="s">
        <v>22</v>
      </c>
      <c r="N18" s="23" t="s">
        <v>23</v>
      </c>
      <c r="O18" s="23" t="s">
        <v>491</v>
      </c>
      <c r="P18" s="10"/>
    </row>
    <row r="19" spans="1:16" ht="82.5" customHeight="1" x14ac:dyDescent="0.25">
      <c r="A19" s="30">
        <v>1198447</v>
      </c>
      <c r="B19" s="118" t="s">
        <v>425</v>
      </c>
      <c r="C19" s="23" t="s">
        <v>495</v>
      </c>
      <c r="D19" s="24" t="s">
        <v>496</v>
      </c>
      <c r="E19" s="25" t="s">
        <v>14</v>
      </c>
      <c r="F19" s="24" t="s">
        <v>497</v>
      </c>
      <c r="G19" s="24" t="s">
        <v>490</v>
      </c>
      <c r="H19" s="23" t="s">
        <v>17</v>
      </c>
      <c r="I19" s="23" t="s">
        <v>73</v>
      </c>
      <c r="J19" s="23" t="s">
        <v>103</v>
      </c>
      <c r="K19" s="24" t="s">
        <v>74</v>
      </c>
      <c r="L19" s="24" t="s">
        <v>428</v>
      </c>
      <c r="M19" s="23" t="s">
        <v>22</v>
      </c>
      <c r="N19" s="23" t="s">
        <v>23</v>
      </c>
      <c r="O19" s="23" t="s">
        <v>491</v>
      </c>
      <c r="P19" s="10"/>
    </row>
    <row r="20" spans="1:16" ht="96" customHeight="1" x14ac:dyDescent="0.25">
      <c r="A20" s="30">
        <v>1198448</v>
      </c>
      <c r="B20" s="118" t="s">
        <v>425</v>
      </c>
      <c r="C20" s="23" t="s">
        <v>498</v>
      </c>
      <c r="D20" s="24" t="s">
        <v>499</v>
      </c>
      <c r="E20" s="25" t="s">
        <v>14</v>
      </c>
      <c r="F20" s="24" t="s">
        <v>500</v>
      </c>
      <c r="G20" s="24" t="s">
        <v>501</v>
      </c>
      <c r="H20" s="23" t="s">
        <v>17</v>
      </c>
      <c r="I20" s="23" t="s">
        <v>73</v>
      </c>
      <c r="J20" s="23" t="s">
        <v>103</v>
      </c>
      <c r="K20" s="24" t="s">
        <v>74</v>
      </c>
      <c r="L20" s="24" t="s">
        <v>428</v>
      </c>
      <c r="M20" s="23" t="s">
        <v>22</v>
      </c>
      <c r="N20" s="23" t="s">
        <v>23</v>
      </c>
      <c r="O20" s="23" t="s">
        <v>491</v>
      </c>
      <c r="P20" s="10"/>
    </row>
    <row r="21" spans="1:16" ht="96" customHeight="1" x14ac:dyDescent="0.25">
      <c r="A21" s="30">
        <v>1198449</v>
      </c>
      <c r="B21" s="118" t="s">
        <v>425</v>
      </c>
      <c r="C21" s="23" t="s">
        <v>502</v>
      </c>
      <c r="D21" s="24" t="s">
        <v>503</v>
      </c>
      <c r="E21" s="25" t="s">
        <v>14</v>
      </c>
      <c r="F21" s="24" t="s">
        <v>504</v>
      </c>
      <c r="G21" s="24" t="s">
        <v>505</v>
      </c>
      <c r="H21" s="23" t="s">
        <v>17</v>
      </c>
      <c r="I21" s="23" t="s">
        <v>73</v>
      </c>
      <c r="J21" s="10" t="s">
        <v>506</v>
      </c>
      <c r="K21" s="24" t="s">
        <v>74</v>
      </c>
      <c r="L21" s="24" t="s">
        <v>428</v>
      </c>
      <c r="M21" s="23" t="s">
        <v>22</v>
      </c>
      <c r="N21" s="23" t="s">
        <v>23</v>
      </c>
      <c r="O21" s="23" t="s">
        <v>491</v>
      </c>
      <c r="P21" s="10"/>
    </row>
    <row r="22" spans="1:16" ht="96" customHeight="1" x14ac:dyDescent="0.25">
      <c r="A22" s="30">
        <v>1198450</v>
      </c>
      <c r="B22" s="118" t="s">
        <v>425</v>
      </c>
      <c r="C22" s="23" t="s">
        <v>507</v>
      </c>
      <c r="D22" s="24" t="s">
        <v>508</v>
      </c>
      <c r="E22" s="25" t="s">
        <v>14</v>
      </c>
      <c r="F22" s="24" t="s">
        <v>509</v>
      </c>
      <c r="G22" s="24" t="s">
        <v>510</v>
      </c>
      <c r="H22" s="23" t="s">
        <v>17</v>
      </c>
      <c r="I22" s="23" t="s">
        <v>73</v>
      </c>
      <c r="J22" s="10" t="s">
        <v>506</v>
      </c>
      <c r="K22" s="24" t="s">
        <v>74</v>
      </c>
      <c r="L22" s="24" t="s">
        <v>428</v>
      </c>
      <c r="M22" s="23" t="s">
        <v>22</v>
      </c>
      <c r="N22" s="23" t="s">
        <v>23</v>
      </c>
      <c r="O22" s="23" t="s">
        <v>491</v>
      </c>
      <c r="P22" s="10"/>
    </row>
    <row r="23" spans="1:16" ht="96" customHeight="1" x14ac:dyDescent="0.25">
      <c r="A23" s="30">
        <v>1198451</v>
      </c>
      <c r="B23" s="118" t="s">
        <v>425</v>
      </c>
      <c r="C23" s="23" t="s">
        <v>511</v>
      </c>
      <c r="D23" s="24" t="s">
        <v>512</v>
      </c>
      <c r="E23" s="25" t="s">
        <v>14</v>
      </c>
      <c r="F23" s="24" t="s">
        <v>513</v>
      </c>
      <c r="G23" s="24" t="s">
        <v>514</v>
      </c>
      <c r="H23" s="23" t="s">
        <v>17</v>
      </c>
      <c r="I23" s="23" t="s">
        <v>73</v>
      </c>
      <c r="J23" s="10" t="s">
        <v>506</v>
      </c>
      <c r="K23" s="24" t="s">
        <v>74</v>
      </c>
      <c r="L23" s="24" t="s">
        <v>428</v>
      </c>
      <c r="M23" s="23" t="s">
        <v>22</v>
      </c>
      <c r="N23" s="23" t="s">
        <v>23</v>
      </c>
      <c r="O23" s="23" t="s">
        <v>491</v>
      </c>
      <c r="P23" s="11"/>
    </row>
    <row r="24" spans="1:16" ht="96" customHeight="1" x14ac:dyDescent="0.25">
      <c r="A24" s="30">
        <v>1198452</v>
      </c>
      <c r="B24" s="118" t="s">
        <v>425</v>
      </c>
      <c r="C24" s="23" t="s">
        <v>515</v>
      </c>
      <c r="D24" s="24" t="s">
        <v>516</v>
      </c>
      <c r="E24" s="25" t="s">
        <v>14</v>
      </c>
      <c r="F24" s="24" t="s">
        <v>517</v>
      </c>
      <c r="G24" s="24" t="s">
        <v>518</v>
      </c>
      <c r="H24" s="23" t="s">
        <v>17</v>
      </c>
      <c r="I24" s="23" t="s">
        <v>73</v>
      </c>
      <c r="J24" s="10" t="s">
        <v>506</v>
      </c>
      <c r="K24" s="24" t="s">
        <v>74</v>
      </c>
      <c r="L24" s="24" t="s">
        <v>428</v>
      </c>
      <c r="M24" s="23" t="s">
        <v>22</v>
      </c>
      <c r="N24" s="23" t="s">
        <v>23</v>
      </c>
      <c r="O24" s="23" t="s">
        <v>491</v>
      </c>
      <c r="P24" s="11"/>
    </row>
    <row r="25" spans="1:16" ht="96" customHeight="1" x14ac:dyDescent="0.25">
      <c r="A25" s="30">
        <v>1198453</v>
      </c>
      <c r="B25" s="118" t="s">
        <v>425</v>
      </c>
      <c r="C25" s="23" t="s">
        <v>519</v>
      </c>
      <c r="D25" s="24" t="s">
        <v>520</v>
      </c>
      <c r="E25" s="25" t="s">
        <v>14</v>
      </c>
      <c r="F25" s="24" t="s">
        <v>521</v>
      </c>
      <c r="G25" s="24" t="s">
        <v>522</v>
      </c>
      <c r="H25" s="23" t="s">
        <v>17</v>
      </c>
      <c r="I25" s="23" t="s">
        <v>73</v>
      </c>
      <c r="J25" s="10" t="s">
        <v>506</v>
      </c>
      <c r="K25" s="24" t="s">
        <v>74</v>
      </c>
      <c r="L25" s="24" t="s">
        <v>428</v>
      </c>
      <c r="M25" s="23" t="s">
        <v>22</v>
      </c>
      <c r="N25" s="23" t="s">
        <v>23</v>
      </c>
      <c r="O25" s="23" t="s">
        <v>491</v>
      </c>
      <c r="P25" s="11"/>
    </row>
    <row r="26" spans="1:16" ht="109.5" customHeight="1" x14ac:dyDescent="0.25">
      <c r="A26" s="30">
        <v>1198455</v>
      </c>
      <c r="B26" s="118" t="s">
        <v>425</v>
      </c>
      <c r="C26" s="23" t="s">
        <v>523</v>
      </c>
      <c r="D26" s="24" t="s">
        <v>524</v>
      </c>
      <c r="E26" s="25" t="s">
        <v>14</v>
      </c>
      <c r="F26" s="24" t="s">
        <v>525</v>
      </c>
      <c r="G26" s="24" t="s">
        <v>526</v>
      </c>
      <c r="H26" s="23" t="s">
        <v>17</v>
      </c>
      <c r="I26" s="23" t="s">
        <v>73</v>
      </c>
      <c r="J26" s="10" t="s">
        <v>506</v>
      </c>
      <c r="K26" s="24" t="s">
        <v>74</v>
      </c>
      <c r="L26" s="24" t="s">
        <v>428</v>
      </c>
      <c r="M26" s="23" t="s">
        <v>22</v>
      </c>
      <c r="N26" s="23" t="s">
        <v>23</v>
      </c>
      <c r="O26" s="23" t="s">
        <v>491</v>
      </c>
      <c r="P26" s="11"/>
    </row>
    <row r="27" spans="1:16" ht="109.5" customHeight="1" x14ac:dyDescent="0.25">
      <c r="A27" s="30">
        <v>1198456</v>
      </c>
      <c r="B27" s="118" t="s">
        <v>425</v>
      </c>
      <c r="C27" s="23" t="s">
        <v>527</v>
      </c>
      <c r="D27" s="24" t="s">
        <v>528</v>
      </c>
      <c r="E27" s="25" t="s">
        <v>14</v>
      </c>
      <c r="F27" s="24" t="s">
        <v>529</v>
      </c>
      <c r="G27" s="24" t="s">
        <v>530</v>
      </c>
      <c r="H27" s="23" t="s">
        <v>17</v>
      </c>
      <c r="I27" s="23" t="s">
        <v>73</v>
      </c>
      <c r="J27" s="10" t="s">
        <v>506</v>
      </c>
      <c r="K27" s="24" t="s">
        <v>74</v>
      </c>
      <c r="L27" s="24" t="s">
        <v>428</v>
      </c>
      <c r="M27" s="23" t="s">
        <v>22</v>
      </c>
      <c r="N27" s="23" t="s">
        <v>23</v>
      </c>
      <c r="O27" s="23" t="s">
        <v>491</v>
      </c>
      <c r="P27" s="11"/>
    </row>
    <row r="28" spans="1:16" ht="109.5" customHeight="1" x14ac:dyDescent="0.25">
      <c r="A28" s="30">
        <v>1198457</v>
      </c>
      <c r="B28" s="118" t="s">
        <v>425</v>
      </c>
      <c r="C28" s="23" t="s">
        <v>531</v>
      </c>
      <c r="D28" s="24" t="s">
        <v>532</v>
      </c>
      <c r="E28" s="25" t="s">
        <v>14</v>
      </c>
      <c r="F28" s="24" t="s">
        <v>533</v>
      </c>
      <c r="G28" s="24" t="s">
        <v>530</v>
      </c>
      <c r="H28" s="23" t="s">
        <v>17</v>
      </c>
      <c r="I28" s="23" t="s">
        <v>73</v>
      </c>
      <c r="J28" s="10" t="s">
        <v>506</v>
      </c>
      <c r="K28" s="24" t="s">
        <v>74</v>
      </c>
      <c r="L28" s="24" t="s">
        <v>428</v>
      </c>
      <c r="M28" s="23" t="s">
        <v>22</v>
      </c>
      <c r="N28" s="23" t="s">
        <v>23</v>
      </c>
      <c r="O28" s="23" t="s">
        <v>491</v>
      </c>
      <c r="P28" s="11"/>
    </row>
    <row r="29" spans="1:16" ht="82.5" customHeight="1" x14ac:dyDescent="0.25">
      <c r="A29" s="30">
        <v>1198458</v>
      </c>
      <c r="B29" s="118" t="s">
        <v>425</v>
      </c>
      <c r="C29" s="23" t="s">
        <v>534</v>
      </c>
      <c r="D29" s="24" t="s">
        <v>535</v>
      </c>
      <c r="E29" s="25" t="s">
        <v>14</v>
      </c>
      <c r="F29" s="24" t="s">
        <v>536</v>
      </c>
      <c r="G29" s="24" t="s">
        <v>537</v>
      </c>
      <c r="H29" s="23" t="s">
        <v>17</v>
      </c>
      <c r="I29" s="23" t="s">
        <v>73</v>
      </c>
      <c r="J29" s="23" t="s">
        <v>103</v>
      </c>
      <c r="K29" s="24" t="s">
        <v>20</v>
      </c>
      <c r="L29" s="24" t="s">
        <v>428</v>
      </c>
      <c r="M29" s="23" t="s">
        <v>22</v>
      </c>
      <c r="N29" s="23" t="s">
        <v>23</v>
      </c>
      <c r="O29" s="23" t="s">
        <v>446</v>
      </c>
    </row>
    <row r="30" spans="1:16" ht="82.5" customHeight="1" x14ac:dyDescent="0.25">
      <c r="A30" s="30">
        <v>1198459</v>
      </c>
      <c r="B30" s="118" t="s">
        <v>425</v>
      </c>
      <c r="C30" s="23" t="s">
        <v>538</v>
      </c>
      <c r="D30" s="24" t="s">
        <v>539</v>
      </c>
      <c r="E30" s="25" t="s">
        <v>14</v>
      </c>
      <c r="F30" s="24" t="s">
        <v>540</v>
      </c>
      <c r="G30" s="24" t="s">
        <v>541</v>
      </c>
      <c r="H30" s="23" t="s">
        <v>17</v>
      </c>
      <c r="I30" s="23" t="s">
        <v>73</v>
      </c>
      <c r="J30" s="23" t="s">
        <v>19</v>
      </c>
      <c r="K30" s="24" t="s">
        <v>20</v>
      </c>
      <c r="L30" s="24" t="s">
        <v>428</v>
      </c>
      <c r="M30" s="23" t="s">
        <v>76</v>
      </c>
      <c r="N30" s="23" t="s">
        <v>23</v>
      </c>
      <c r="O30" s="23" t="s">
        <v>446</v>
      </c>
    </row>
    <row r="31" spans="1:16" ht="82.5" customHeight="1" x14ac:dyDescent="0.25">
      <c r="A31" s="30">
        <v>1198460</v>
      </c>
      <c r="B31" s="118" t="s">
        <v>425</v>
      </c>
      <c r="C31" s="23" t="s">
        <v>542</v>
      </c>
      <c r="D31" s="24" t="s">
        <v>543</v>
      </c>
      <c r="E31" s="25" t="s">
        <v>14</v>
      </c>
      <c r="F31" s="24" t="s">
        <v>544</v>
      </c>
      <c r="G31" s="24" t="s">
        <v>545</v>
      </c>
      <c r="H31" s="23" t="s">
        <v>17</v>
      </c>
      <c r="I31" s="23" t="s">
        <v>73</v>
      </c>
      <c r="J31" s="23" t="s">
        <v>103</v>
      </c>
      <c r="K31" s="24" t="s">
        <v>74</v>
      </c>
      <c r="L31" s="24" t="s">
        <v>428</v>
      </c>
      <c r="M31" s="23" t="s">
        <v>22</v>
      </c>
      <c r="N31" s="23" t="s">
        <v>23</v>
      </c>
      <c r="O31" s="23" t="s">
        <v>446</v>
      </c>
    </row>
    <row r="32" spans="1:16" ht="82.5" customHeight="1" x14ac:dyDescent="0.25">
      <c r="A32" s="30">
        <v>1198461</v>
      </c>
      <c r="B32" s="118" t="s">
        <v>425</v>
      </c>
      <c r="C32" s="23" t="s">
        <v>546</v>
      </c>
      <c r="D32" s="24" t="s">
        <v>547</v>
      </c>
      <c r="E32" s="25" t="s">
        <v>14</v>
      </c>
      <c r="F32" s="24" t="s">
        <v>548</v>
      </c>
      <c r="G32" s="24" t="s">
        <v>549</v>
      </c>
      <c r="H32" s="23" t="s">
        <v>17</v>
      </c>
      <c r="I32" s="23" t="s">
        <v>73</v>
      </c>
      <c r="J32" s="23" t="s">
        <v>19</v>
      </c>
      <c r="K32" s="24" t="s">
        <v>20</v>
      </c>
      <c r="L32" s="24" t="s">
        <v>428</v>
      </c>
      <c r="M32" s="23" t="s">
        <v>76</v>
      </c>
      <c r="N32" s="23" t="s">
        <v>23</v>
      </c>
      <c r="O32" s="23" t="s">
        <v>446</v>
      </c>
    </row>
    <row r="33" spans="1:16" ht="82.5" customHeight="1" x14ac:dyDescent="0.25">
      <c r="A33" s="30">
        <v>1198462</v>
      </c>
      <c r="B33" s="118" t="s">
        <v>425</v>
      </c>
      <c r="C33" s="23" t="s">
        <v>550</v>
      </c>
      <c r="D33" s="24" t="s">
        <v>551</v>
      </c>
      <c r="E33" s="25" t="s">
        <v>14</v>
      </c>
      <c r="F33" s="24" t="s">
        <v>552</v>
      </c>
      <c r="G33" s="24" t="s">
        <v>553</v>
      </c>
      <c r="H33" s="23" t="s">
        <v>17</v>
      </c>
      <c r="I33" s="23" t="s">
        <v>73</v>
      </c>
      <c r="J33" s="23" t="s">
        <v>19</v>
      </c>
      <c r="K33" s="24" t="s">
        <v>20</v>
      </c>
      <c r="L33" s="24" t="s">
        <v>428</v>
      </c>
      <c r="M33" s="23" t="s">
        <v>76</v>
      </c>
      <c r="N33" s="23" t="s">
        <v>23</v>
      </c>
      <c r="O33" s="23" t="s">
        <v>446</v>
      </c>
    </row>
    <row r="34" spans="1:16" ht="82.5" customHeight="1" x14ac:dyDescent="0.25">
      <c r="A34" s="30">
        <v>1198463</v>
      </c>
      <c r="B34" s="118" t="s">
        <v>425</v>
      </c>
      <c r="C34" s="23" t="s">
        <v>554</v>
      </c>
      <c r="D34" s="24" t="s">
        <v>555</v>
      </c>
      <c r="E34" s="25" t="s">
        <v>14</v>
      </c>
      <c r="F34" s="24" t="s">
        <v>556</v>
      </c>
      <c r="G34" s="24" t="s">
        <v>557</v>
      </c>
      <c r="H34" s="23" t="s">
        <v>17</v>
      </c>
      <c r="I34" s="23" t="s">
        <v>73</v>
      </c>
      <c r="J34" s="23" t="s">
        <v>19</v>
      </c>
      <c r="K34" s="24" t="s">
        <v>20</v>
      </c>
      <c r="L34" s="24" t="s">
        <v>428</v>
      </c>
      <c r="M34" s="23" t="s">
        <v>76</v>
      </c>
      <c r="N34" s="23" t="s">
        <v>23</v>
      </c>
      <c r="O34" s="23" t="s">
        <v>446</v>
      </c>
    </row>
    <row r="35" spans="1:16" ht="82.5" customHeight="1" x14ac:dyDescent="0.25">
      <c r="A35" s="30">
        <v>1198465</v>
      </c>
      <c r="B35" s="118" t="s">
        <v>425</v>
      </c>
      <c r="C35" s="26" t="s">
        <v>558</v>
      </c>
      <c r="D35" s="27" t="s">
        <v>559</v>
      </c>
      <c r="E35" s="25" t="s">
        <v>14</v>
      </c>
      <c r="F35" s="24" t="s">
        <v>560</v>
      </c>
      <c r="G35" s="24" t="s">
        <v>561</v>
      </c>
      <c r="H35" s="23" t="s">
        <v>17</v>
      </c>
      <c r="I35" s="23" t="s">
        <v>73</v>
      </c>
      <c r="J35" s="23" t="s">
        <v>19</v>
      </c>
      <c r="K35" s="24" t="s">
        <v>20</v>
      </c>
      <c r="L35" s="24" t="s">
        <v>428</v>
      </c>
      <c r="M35" s="23" t="s">
        <v>76</v>
      </c>
      <c r="N35" s="23" t="s">
        <v>23</v>
      </c>
      <c r="O35" s="23" t="s">
        <v>446</v>
      </c>
    </row>
    <row r="36" spans="1:16" ht="82.5" customHeight="1" x14ac:dyDescent="0.25">
      <c r="A36" s="30">
        <v>1198466</v>
      </c>
      <c r="B36" s="118" t="s">
        <v>425</v>
      </c>
      <c r="C36" s="23" t="s">
        <v>562</v>
      </c>
      <c r="D36" s="24" t="s">
        <v>563</v>
      </c>
      <c r="E36" s="25" t="s">
        <v>14</v>
      </c>
      <c r="F36" s="24" t="s">
        <v>564</v>
      </c>
      <c r="G36" s="24" t="s">
        <v>565</v>
      </c>
      <c r="H36" s="23" t="s">
        <v>17</v>
      </c>
      <c r="I36" s="23" t="s">
        <v>73</v>
      </c>
      <c r="J36" s="23" t="s">
        <v>103</v>
      </c>
      <c r="K36" s="24" t="s">
        <v>74</v>
      </c>
      <c r="L36" s="24" t="s">
        <v>428</v>
      </c>
      <c r="M36" s="23" t="s">
        <v>22</v>
      </c>
      <c r="N36" s="23" t="s">
        <v>23</v>
      </c>
      <c r="O36" s="23" t="s">
        <v>446</v>
      </c>
      <c r="P36" s="13"/>
    </row>
    <row r="37" spans="1:16" ht="82.5" customHeight="1" x14ac:dyDescent="0.25">
      <c r="A37" s="30">
        <v>1198467</v>
      </c>
      <c r="B37" s="118" t="s">
        <v>425</v>
      </c>
      <c r="C37" s="23" t="s">
        <v>566</v>
      </c>
      <c r="D37" s="24" t="s">
        <v>567</v>
      </c>
      <c r="E37" s="25" t="s">
        <v>14</v>
      </c>
      <c r="F37" s="24" t="s">
        <v>568</v>
      </c>
      <c r="G37" s="24" t="s">
        <v>569</v>
      </c>
      <c r="H37" s="23" t="s">
        <v>17</v>
      </c>
      <c r="I37" s="23" t="s">
        <v>73</v>
      </c>
      <c r="J37" s="23" t="s">
        <v>103</v>
      </c>
      <c r="K37" s="24" t="s">
        <v>74</v>
      </c>
      <c r="L37" s="24" t="s">
        <v>428</v>
      </c>
      <c r="M37" s="23" t="s">
        <v>22</v>
      </c>
      <c r="N37" s="23" t="s">
        <v>23</v>
      </c>
      <c r="O37" s="23" t="s">
        <v>446</v>
      </c>
      <c r="P37" s="13"/>
    </row>
    <row r="38" spans="1:16" ht="82.5" customHeight="1" x14ac:dyDescent="0.25">
      <c r="A38" s="30">
        <v>1198468</v>
      </c>
      <c r="B38" s="118" t="s">
        <v>425</v>
      </c>
      <c r="C38" s="23" t="s">
        <v>570</v>
      </c>
      <c r="D38" s="24" t="s">
        <v>571</v>
      </c>
      <c r="E38" s="25" t="s">
        <v>14</v>
      </c>
      <c r="F38" s="24" t="s">
        <v>572</v>
      </c>
      <c r="G38" s="24" t="s">
        <v>573</v>
      </c>
      <c r="H38" s="23" t="s">
        <v>17</v>
      </c>
      <c r="I38" s="23" t="s">
        <v>73</v>
      </c>
      <c r="J38" s="23" t="s">
        <v>103</v>
      </c>
      <c r="K38" s="24" t="s">
        <v>20</v>
      </c>
      <c r="L38" s="24" t="s">
        <v>428</v>
      </c>
      <c r="M38" s="23" t="s">
        <v>22</v>
      </c>
      <c r="N38" s="23" t="s">
        <v>23</v>
      </c>
      <c r="O38" s="23" t="s">
        <v>446</v>
      </c>
      <c r="P38" s="12"/>
    </row>
    <row r="39" spans="1:16" ht="109.5" customHeight="1" x14ac:dyDescent="0.25">
      <c r="A39" s="30">
        <v>1198470</v>
      </c>
      <c r="B39" s="118" t="s">
        <v>425</v>
      </c>
      <c r="C39" s="23" t="s">
        <v>574</v>
      </c>
      <c r="D39" s="24" t="s">
        <v>575</v>
      </c>
      <c r="E39" s="25" t="s">
        <v>14</v>
      </c>
      <c r="F39" s="24" t="s">
        <v>576</v>
      </c>
      <c r="G39" s="24" t="s">
        <v>577</v>
      </c>
      <c r="H39" s="23" t="s">
        <v>17</v>
      </c>
      <c r="I39" s="23" t="s">
        <v>73</v>
      </c>
      <c r="J39" s="23" t="s">
        <v>19</v>
      </c>
      <c r="K39" s="24" t="s">
        <v>20</v>
      </c>
      <c r="L39" s="24" t="s">
        <v>428</v>
      </c>
      <c r="M39" s="23" t="s">
        <v>76</v>
      </c>
      <c r="N39" s="23" t="s">
        <v>23</v>
      </c>
      <c r="O39" s="23" t="s">
        <v>446</v>
      </c>
      <c r="P39" s="10"/>
    </row>
    <row r="40" spans="1:16" ht="82.5" customHeight="1" x14ac:dyDescent="0.25">
      <c r="A40" s="30">
        <v>1198471</v>
      </c>
      <c r="B40" s="118" t="s">
        <v>425</v>
      </c>
      <c r="C40" s="23" t="s">
        <v>578</v>
      </c>
      <c r="D40" s="24" t="s">
        <v>579</v>
      </c>
      <c r="E40" s="25" t="s">
        <v>14</v>
      </c>
      <c r="F40" s="24" t="s">
        <v>580</v>
      </c>
      <c r="G40" s="24" t="s">
        <v>581</v>
      </c>
      <c r="H40" s="23" t="s">
        <v>17</v>
      </c>
      <c r="I40" s="23" t="s">
        <v>73</v>
      </c>
      <c r="J40" s="23" t="s">
        <v>103</v>
      </c>
      <c r="K40" s="24" t="s">
        <v>20</v>
      </c>
      <c r="L40" s="24" t="s">
        <v>428</v>
      </c>
      <c r="M40" s="23" t="s">
        <v>22</v>
      </c>
      <c r="N40" s="23" t="s">
        <v>23</v>
      </c>
      <c r="O40" s="23" t="s">
        <v>446</v>
      </c>
    </row>
    <row r="41" spans="1:16" ht="82.5" customHeight="1" x14ac:dyDescent="0.25">
      <c r="A41" s="30">
        <v>1198472</v>
      </c>
      <c r="B41" s="118" t="s">
        <v>425</v>
      </c>
      <c r="C41" s="23" t="s">
        <v>582</v>
      </c>
      <c r="D41" s="24" t="s">
        <v>583</v>
      </c>
      <c r="E41" s="25" t="s">
        <v>14</v>
      </c>
      <c r="F41" s="24" t="s">
        <v>584</v>
      </c>
      <c r="G41" s="24" t="s">
        <v>585</v>
      </c>
      <c r="H41" s="23" t="s">
        <v>17</v>
      </c>
      <c r="I41" s="23" t="s">
        <v>73</v>
      </c>
      <c r="J41" s="23" t="s">
        <v>103</v>
      </c>
      <c r="K41" s="24" t="s">
        <v>20</v>
      </c>
      <c r="L41" s="24" t="s">
        <v>428</v>
      </c>
      <c r="M41" s="23" t="s">
        <v>22</v>
      </c>
      <c r="N41" s="23" t="s">
        <v>23</v>
      </c>
      <c r="O41" s="23" t="s">
        <v>446</v>
      </c>
    </row>
    <row r="42" spans="1:16" ht="82.5" customHeight="1" x14ac:dyDescent="0.25">
      <c r="A42" s="30">
        <v>1198473</v>
      </c>
      <c r="B42" s="118" t="s">
        <v>425</v>
      </c>
      <c r="C42" s="23" t="s">
        <v>586</v>
      </c>
      <c r="D42" s="24" t="s">
        <v>587</v>
      </c>
      <c r="E42" s="25" t="s">
        <v>14</v>
      </c>
      <c r="F42" s="24" t="s">
        <v>588</v>
      </c>
      <c r="G42" s="24" t="s">
        <v>589</v>
      </c>
      <c r="H42" s="23" t="s">
        <v>17</v>
      </c>
      <c r="I42" s="23" t="s">
        <v>73</v>
      </c>
      <c r="J42" s="23" t="s">
        <v>103</v>
      </c>
      <c r="K42" s="24" t="s">
        <v>20</v>
      </c>
      <c r="L42" s="24" t="s">
        <v>428</v>
      </c>
      <c r="M42" s="23" t="s">
        <v>22</v>
      </c>
      <c r="N42" s="23" t="s">
        <v>23</v>
      </c>
      <c r="O42" s="23" t="s">
        <v>446</v>
      </c>
    </row>
    <row r="43" spans="1:16" ht="82.5" customHeight="1" x14ac:dyDescent="0.25">
      <c r="A43" s="30">
        <v>1198474</v>
      </c>
      <c r="B43" s="118" t="s">
        <v>425</v>
      </c>
      <c r="C43" s="23" t="s">
        <v>590</v>
      </c>
      <c r="D43" s="24" t="s">
        <v>591</v>
      </c>
      <c r="E43" s="25" t="s">
        <v>14</v>
      </c>
      <c r="F43" s="24" t="s">
        <v>592</v>
      </c>
      <c r="G43" s="24" t="s">
        <v>593</v>
      </c>
      <c r="H43" s="23" t="s">
        <v>17</v>
      </c>
      <c r="I43" s="23" t="s">
        <v>73</v>
      </c>
      <c r="J43" s="23" t="s">
        <v>103</v>
      </c>
      <c r="K43" s="24" t="s">
        <v>20</v>
      </c>
      <c r="L43" s="24" t="s">
        <v>428</v>
      </c>
      <c r="M43" s="23" t="s">
        <v>22</v>
      </c>
      <c r="N43" s="23" t="s">
        <v>23</v>
      </c>
      <c r="O43" s="23" t="s">
        <v>446</v>
      </c>
    </row>
    <row r="44" spans="1:16" ht="82.5" customHeight="1" x14ac:dyDescent="0.25">
      <c r="A44" s="30">
        <v>1198475</v>
      </c>
      <c r="B44" s="118" t="s">
        <v>425</v>
      </c>
      <c r="C44" s="23" t="s">
        <v>594</v>
      </c>
      <c r="D44" s="24" t="s">
        <v>595</v>
      </c>
      <c r="E44" s="25" t="s">
        <v>14</v>
      </c>
      <c r="F44" s="24" t="s">
        <v>596</v>
      </c>
      <c r="G44" s="24" t="s">
        <v>597</v>
      </c>
      <c r="H44" s="23" t="s">
        <v>17</v>
      </c>
      <c r="I44" s="23" t="s">
        <v>73</v>
      </c>
      <c r="J44" s="23" t="s">
        <v>103</v>
      </c>
      <c r="K44" s="24" t="s">
        <v>20</v>
      </c>
      <c r="L44" s="24" t="s">
        <v>428</v>
      </c>
      <c r="M44" s="23" t="s">
        <v>22</v>
      </c>
      <c r="N44" s="23" t="s">
        <v>23</v>
      </c>
      <c r="O44" s="23" t="s">
        <v>446</v>
      </c>
    </row>
    <row r="45" spans="1:16" ht="109.5" customHeight="1" x14ac:dyDescent="0.25">
      <c r="A45" s="30">
        <v>1198476</v>
      </c>
      <c r="B45" s="118" t="s">
        <v>425</v>
      </c>
      <c r="C45" s="23" t="s">
        <v>598</v>
      </c>
      <c r="D45" s="24" t="s">
        <v>599</v>
      </c>
      <c r="E45" s="25" t="s">
        <v>14</v>
      </c>
      <c r="F45" s="24" t="s">
        <v>600</v>
      </c>
      <c r="G45" s="24" t="s">
        <v>601</v>
      </c>
      <c r="H45" s="23" t="s">
        <v>17</v>
      </c>
      <c r="I45" s="23" t="s">
        <v>73</v>
      </c>
      <c r="J45" s="23" t="s">
        <v>19</v>
      </c>
      <c r="K45" s="24" t="s">
        <v>20</v>
      </c>
      <c r="L45" s="24" t="s">
        <v>428</v>
      </c>
      <c r="M45" s="23" t="s">
        <v>76</v>
      </c>
      <c r="N45" s="23" t="s">
        <v>23</v>
      </c>
      <c r="O45" s="23" t="s">
        <v>446</v>
      </c>
    </row>
    <row r="46" spans="1:16" ht="136.5" customHeight="1" x14ac:dyDescent="0.25">
      <c r="A46" s="30">
        <v>1198477</v>
      </c>
      <c r="B46" s="118" t="s">
        <v>425</v>
      </c>
      <c r="C46" s="23" t="s">
        <v>602</v>
      </c>
      <c r="D46" s="24" t="s">
        <v>603</v>
      </c>
      <c r="E46" s="25" t="s">
        <v>14</v>
      </c>
      <c r="F46" s="41" t="s">
        <v>604</v>
      </c>
      <c r="G46" s="41" t="s">
        <v>605</v>
      </c>
      <c r="H46" s="23" t="s">
        <v>17</v>
      </c>
      <c r="I46" s="23" t="s">
        <v>73</v>
      </c>
      <c r="J46" s="23" t="s">
        <v>103</v>
      </c>
      <c r="K46" s="24" t="s">
        <v>74</v>
      </c>
      <c r="L46" s="24" t="s">
        <v>21</v>
      </c>
      <c r="M46" s="23" t="s">
        <v>22</v>
      </c>
      <c r="N46" s="23" t="s">
        <v>23</v>
      </c>
      <c r="O46" s="23" t="s">
        <v>446</v>
      </c>
    </row>
    <row r="47" spans="1:16" ht="164.25" customHeight="1" x14ac:dyDescent="0.25">
      <c r="A47" s="30">
        <v>1198478</v>
      </c>
      <c r="B47" s="118" t="s">
        <v>425</v>
      </c>
      <c r="C47" s="23" t="s">
        <v>606</v>
      </c>
      <c r="D47" s="24" t="s">
        <v>607</v>
      </c>
      <c r="E47" s="25" t="s">
        <v>14</v>
      </c>
      <c r="F47" s="24" t="s">
        <v>608</v>
      </c>
      <c r="G47" s="24" t="s">
        <v>609</v>
      </c>
      <c r="H47" s="23" t="s">
        <v>17</v>
      </c>
      <c r="I47" s="23" t="s">
        <v>73</v>
      </c>
      <c r="J47" s="23" t="s">
        <v>19</v>
      </c>
      <c r="K47" s="24" t="s">
        <v>74</v>
      </c>
      <c r="L47" s="24" t="s">
        <v>21</v>
      </c>
      <c r="M47" s="23" t="s">
        <v>76</v>
      </c>
      <c r="N47" s="23" t="s">
        <v>23</v>
      </c>
      <c r="O47" s="23" t="s">
        <v>446</v>
      </c>
    </row>
    <row r="48" spans="1:16" ht="82.5" customHeight="1" x14ac:dyDescent="0.25">
      <c r="A48" s="30">
        <v>1198479</v>
      </c>
      <c r="B48" s="118" t="s">
        <v>425</v>
      </c>
      <c r="C48" s="23" t="s">
        <v>610</v>
      </c>
      <c r="D48" s="24" t="s">
        <v>611</v>
      </c>
      <c r="E48" s="25" t="s">
        <v>14</v>
      </c>
      <c r="F48" s="24" t="s">
        <v>612</v>
      </c>
      <c r="G48" s="24" t="s">
        <v>613</v>
      </c>
      <c r="H48" s="23" t="s">
        <v>17</v>
      </c>
      <c r="I48" s="23" t="s">
        <v>73</v>
      </c>
      <c r="J48" s="23" t="s">
        <v>19</v>
      </c>
      <c r="K48" s="24" t="s">
        <v>74</v>
      </c>
      <c r="L48" s="24" t="s">
        <v>21</v>
      </c>
      <c r="M48" s="23" t="s">
        <v>76</v>
      </c>
      <c r="N48" s="23" t="s">
        <v>23</v>
      </c>
      <c r="O48" s="23" t="s">
        <v>446</v>
      </c>
    </row>
    <row r="49" spans="1:15" ht="82.5" customHeight="1" x14ac:dyDescent="0.25">
      <c r="A49" s="30">
        <v>1198480</v>
      </c>
      <c r="B49" s="118" t="s">
        <v>425</v>
      </c>
      <c r="C49" s="23" t="s">
        <v>614</v>
      </c>
      <c r="D49" s="24" t="s">
        <v>615</v>
      </c>
      <c r="E49" s="25" t="s">
        <v>14</v>
      </c>
      <c r="F49" s="24" t="s">
        <v>616</v>
      </c>
      <c r="G49" s="24" t="s">
        <v>617</v>
      </c>
      <c r="H49" s="23" t="s">
        <v>17</v>
      </c>
      <c r="I49" s="23" t="s">
        <v>73</v>
      </c>
      <c r="J49" s="23" t="s">
        <v>19</v>
      </c>
      <c r="K49" s="24" t="s">
        <v>74</v>
      </c>
      <c r="L49" s="24" t="s">
        <v>21</v>
      </c>
      <c r="M49" s="23" t="s">
        <v>76</v>
      </c>
      <c r="N49" s="23" t="s">
        <v>23</v>
      </c>
      <c r="O49" s="23" t="s">
        <v>446</v>
      </c>
    </row>
    <row r="50" spans="1:15" ht="82.5" customHeight="1" x14ac:dyDescent="0.25">
      <c r="A50" s="30">
        <v>1198481</v>
      </c>
      <c r="B50" s="118" t="s">
        <v>425</v>
      </c>
      <c r="C50" s="23" t="s">
        <v>618</v>
      </c>
      <c r="D50" s="24" t="s">
        <v>619</v>
      </c>
      <c r="E50" s="25" t="s">
        <v>14</v>
      </c>
      <c r="F50" s="24" t="s">
        <v>620</v>
      </c>
      <c r="G50" s="24" t="s">
        <v>621</v>
      </c>
      <c r="H50" s="23" t="s">
        <v>17</v>
      </c>
      <c r="I50" s="23" t="s">
        <v>73</v>
      </c>
      <c r="J50" s="23" t="s">
        <v>19</v>
      </c>
      <c r="K50" s="24" t="s">
        <v>74</v>
      </c>
      <c r="L50" s="24" t="s">
        <v>21</v>
      </c>
      <c r="M50" s="23" t="s">
        <v>76</v>
      </c>
      <c r="N50" s="23" t="s">
        <v>23</v>
      </c>
      <c r="O50" s="23" t="s">
        <v>446</v>
      </c>
    </row>
    <row r="51" spans="1:15" ht="82.5" customHeight="1" x14ac:dyDescent="0.25">
      <c r="A51" s="30">
        <v>1198483</v>
      </c>
      <c r="B51" s="118" t="s">
        <v>425</v>
      </c>
      <c r="C51" s="23" t="s">
        <v>622</v>
      </c>
      <c r="D51" s="24" t="s">
        <v>623</v>
      </c>
      <c r="E51" s="25" t="s">
        <v>14</v>
      </c>
      <c r="F51" s="24" t="s">
        <v>624</v>
      </c>
      <c r="G51" s="24" t="s">
        <v>625</v>
      </c>
      <c r="H51" s="23" t="s">
        <v>17</v>
      </c>
      <c r="I51" s="23" t="s">
        <v>73</v>
      </c>
      <c r="J51" s="23" t="s">
        <v>103</v>
      </c>
      <c r="K51" s="24" t="s">
        <v>74</v>
      </c>
      <c r="L51" s="24" t="s">
        <v>21</v>
      </c>
      <c r="M51" s="23" t="s">
        <v>22</v>
      </c>
      <c r="N51" s="23" t="s">
        <v>23</v>
      </c>
      <c r="O51" s="23" t="s">
        <v>446</v>
      </c>
    </row>
    <row r="52" spans="1:15" ht="82.5" customHeight="1" x14ac:dyDescent="0.25">
      <c r="A52" s="30">
        <v>1198484</v>
      </c>
      <c r="B52" s="118" t="s">
        <v>425</v>
      </c>
      <c r="C52" s="23" t="s">
        <v>626</v>
      </c>
      <c r="D52" s="24" t="s">
        <v>627</v>
      </c>
      <c r="E52" s="25" t="s">
        <v>14</v>
      </c>
      <c r="F52" s="24" t="s">
        <v>628</v>
      </c>
      <c r="G52" s="24" t="s">
        <v>629</v>
      </c>
      <c r="H52" s="23" t="s">
        <v>17</v>
      </c>
      <c r="I52" s="23" t="s">
        <v>73</v>
      </c>
      <c r="J52" s="23" t="s">
        <v>103</v>
      </c>
      <c r="K52" s="24" t="s">
        <v>74</v>
      </c>
      <c r="L52" s="24" t="s">
        <v>21</v>
      </c>
      <c r="M52" s="23" t="s">
        <v>22</v>
      </c>
      <c r="N52" s="23" t="s">
        <v>23</v>
      </c>
      <c r="O52" s="23" t="s">
        <v>446</v>
      </c>
    </row>
    <row r="53" spans="1:15" ht="82.5" customHeight="1" x14ac:dyDescent="0.25">
      <c r="A53" s="30">
        <v>1198486</v>
      </c>
      <c r="B53" s="118" t="s">
        <v>425</v>
      </c>
      <c r="C53" s="23" t="s">
        <v>630</v>
      </c>
      <c r="D53" s="24" t="s">
        <v>631</v>
      </c>
      <c r="E53" s="25" t="s">
        <v>14</v>
      </c>
      <c r="F53" s="24" t="s">
        <v>632</v>
      </c>
      <c r="G53" s="24" t="s">
        <v>633</v>
      </c>
      <c r="H53" s="23" t="s">
        <v>17</v>
      </c>
      <c r="I53" s="23" t="s">
        <v>73</v>
      </c>
      <c r="J53" s="23" t="s">
        <v>103</v>
      </c>
      <c r="K53" s="24" t="s">
        <v>74</v>
      </c>
      <c r="L53" s="24" t="s">
        <v>21</v>
      </c>
      <c r="M53" s="23" t="s">
        <v>22</v>
      </c>
      <c r="N53" s="23" t="s">
        <v>23</v>
      </c>
      <c r="O53" s="23" t="s">
        <v>446</v>
      </c>
    </row>
    <row r="54" spans="1:15" ht="82.5" customHeight="1" x14ac:dyDescent="0.25">
      <c r="A54" s="30">
        <v>1198487</v>
      </c>
      <c r="B54" s="118" t="s">
        <v>425</v>
      </c>
      <c r="C54" s="23" t="s">
        <v>634</v>
      </c>
      <c r="D54" s="24" t="s">
        <v>635</v>
      </c>
      <c r="E54" s="25" t="s">
        <v>14</v>
      </c>
      <c r="F54" s="24" t="s">
        <v>636</v>
      </c>
      <c r="G54" s="24" t="s">
        <v>637</v>
      </c>
      <c r="H54" s="23" t="s">
        <v>17</v>
      </c>
      <c r="I54" s="23" t="s">
        <v>73</v>
      </c>
      <c r="J54" s="23" t="s">
        <v>103</v>
      </c>
      <c r="K54" s="24" t="s">
        <v>74</v>
      </c>
      <c r="L54" s="24" t="s">
        <v>21</v>
      </c>
      <c r="M54" s="23" t="s">
        <v>22</v>
      </c>
      <c r="N54" s="23" t="s">
        <v>23</v>
      </c>
      <c r="O54" s="23"/>
    </row>
    <row r="55" spans="1:15" ht="82.5" customHeight="1" x14ac:dyDescent="0.25">
      <c r="A55" s="30">
        <v>1198488</v>
      </c>
      <c r="B55" s="118" t="s">
        <v>425</v>
      </c>
      <c r="C55" s="23" t="s">
        <v>638</v>
      </c>
      <c r="D55" s="24" t="s">
        <v>639</v>
      </c>
      <c r="E55" s="25" t="s">
        <v>14</v>
      </c>
      <c r="F55" s="24" t="s">
        <v>640</v>
      </c>
      <c r="G55" s="24" t="s">
        <v>641</v>
      </c>
      <c r="H55" s="23" t="s">
        <v>17</v>
      </c>
      <c r="I55" s="23" t="s">
        <v>73</v>
      </c>
      <c r="J55" s="23" t="s">
        <v>103</v>
      </c>
      <c r="K55" s="24" t="s">
        <v>74</v>
      </c>
      <c r="L55" s="24" t="s">
        <v>21</v>
      </c>
      <c r="M55" s="23" t="s">
        <v>22</v>
      </c>
      <c r="N55" s="23" t="s">
        <v>23</v>
      </c>
      <c r="O55" s="23" t="s">
        <v>446</v>
      </c>
    </row>
    <row r="56" spans="1:15" ht="82.5" customHeight="1" x14ac:dyDescent="0.25">
      <c r="A56" s="30">
        <v>1198490</v>
      </c>
      <c r="B56" s="118" t="s">
        <v>425</v>
      </c>
      <c r="C56" s="23" t="s">
        <v>642</v>
      </c>
      <c r="D56" s="24" t="s">
        <v>643</v>
      </c>
      <c r="E56" s="25" t="s">
        <v>14</v>
      </c>
      <c r="F56" s="24" t="s">
        <v>644</v>
      </c>
      <c r="G56" s="24" t="s">
        <v>645</v>
      </c>
      <c r="H56" s="23" t="s">
        <v>17</v>
      </c>
      <c r="I56" s="23" t="s">
        <v>73</v>
      </c>
      <c r="J56" s="23" t="s">
        <v>103</v>
      </c>
      <c r="K56" s="24" t="s">
        <v>20</v>
      </c>
      <c r="L56" s="24" t="s">
        <v>21</v>
      </c>
      <c r="M56" s="23" t="s">
        <v>22</v>
      </c>
      <c r="N56" s="23" t="s">
        <v>23</v>
      </c>
      <c r="O56" s="23" t="s">
        <v>446</v>
      </c>
    </row>
    <row r="57" spans="1:15" ht="82.5" customHeight="1" x14ac:dyDescent="0.25">
      <c r="A57" s="30">
        <v>1198491</v>
      </c>
      <c r="B57" s="118" t="s">
        <v>425</v>
      </c>
      <c r="C57" s="23" t="s">
        <v>646</v>
      </c>
      <c r="D57" s="24" t="s">
        <v>647</v>
      </c>
      <c r="E57" s="25" t="s">
        <v>14</v>
      </c>
      <c r="F57" s="24" t="s">
        <v>648</v>
      </c>
      <c r="G57" s="24" t="s">
        <v>649</v>
      </c>
      <c r="H57" s="23" t="s">
        <v>17</v>
      </c>
      <c r="I57" s="23" t="s">
        <v>73</v>
      </c>
      <c r="J57" s="23" t="s">
        <v>103</v>
      </c>
      <c r="K57" s="24" t="s">
        <v>20</v>
      </c>
      <c r="L57" s="24" t="s">
        <v>21</v>
      </c>
      <c r="M57" s="23" t="s">
        <v>22</v>
      </c>
      <c r="N57" s="23" t="s">
        <v>23</v>
      </c>
      <c r="O57" s="23" t="s">
        <v>491</v>
      </c>
    </row>
    <row r="58" spans="1:15" ht="82.5" customHeight="1" x14ac:dyDescent="0.25">
      <c r="A58" s="30">
        <v>1198493</v>
      </c>
      <c r="B58" s="118" t="s">
        <v>425</v>
      </c>
      <c r="C58" s="23" t="s">
        <v>650</v>
      </c>
      <c r="D58" s="24" t="s">
        <v>651</v>
      </c>
      <c r="E58" s="25" t="s">
        <v>14</v>
      </c>
      <c r="F58" s="24" t="s">
        <v>652</v>
      </c>
      <c r="G58" s="24" t="s">
        <v>653</v>
      </c>
      <c r="H58" s="23" t="s">
        <v>17</v>
      </c>
      <c r="I58" s="23" t="s">
        <v>73</v>
      </c>
      <c r="J58" s="23" t="s">
        <v>103</v>
      </c>
      <c r="K58" s="24" t="s">
        <v>74</v>
      </c>
      <c r="L58" s="24" t="s">
        <v>21</v>
      </c>
      <c r="M58" s="23" t="s">
        <v>22</v>
      </c>
      <c r="N58" s="23" t="s">
        <v>23</v>
      </c>
      <c r="O58" s="23" t="s">
        <v>446</v>
      </c>
    </row>
    <row r="59" spans="1:15" ht="82.5" customHeight="1" x14ac:dyDescent="0.25">
      <c r="A59" s="30">
        <v>1198494</v>
      </c>
      <c r="B59" s="118" t="s">
        <v>425</v>
      </c>
      <c r="C59" s="23" t="s">
        <v>654</v>
      </c>
      <c r="D59" s="24" t="s">
        <v>655</v>
      </c>
      <c r="E59" s="25" t="s">
        <v>14</v>
      </c>
      <c r="F59" s="24" t="s">
        <v>656</v>
      </c>
      <c r="G59" s="24" t="s">
        <v>657</v>
      </c>
      <c r="H59" s="23" t="s">
        <v>17</v>
      </c>
      <c r="I59" s="23" t="s">
        <v>73</v>
      </c>
      <c r="J59" s="23" t="s">
        <v>103</v>
      </c>
      <c r="K59" s="24" t="s">
        <v>20</v>
      </c>
      <c r="L59" s="24" t="s">
        <v>21</v>
      </c>
      <c r="M59" s="23" t="s">
        <v>22</v>
      </c>
      <c r="N59" s="23" t="s">
        <v>23</v>
      </c>
      <c r="O59" s="23" t="s">
        <v>446</v>
      </c>
    </row>
    <row r="60" spans="1:15" ht="82.5" customHeight="1" x14ac:dyDescent="0.25">
      <c r="A60" s="30">
        <v>1198495</v>
      </c>
      <c r="B60" s="118" t="s">
        <v>425</v>
      </c>
      <c r="C60" s="23" t="s">
        <v>658</v>
      </c>
      <c r="D60" s="24" t="s">
        <v>659</v>
      </c>
      <c r="E60" s="25" t="s">
        <v>14</v>
      </c>
      <c r="F60" s="24" t="s">
        <v>660</v>
      </c>
      <c r="G60" s="24" t="s">
        <v>661</v>
      </c>
      <c r="H60" s="23" t="s">
        <v>17</v>
      </c>
      <c r="I60" s="23" t="s">
        <v>73</v>
      </c>
      <c r="J60" s="23" t="s">
        <v>103</v>
      </c>
      <c r="K60" s="24" t="s">
        <v>20</v>
      </c>
      <c r="L60" s="24" t="s">
        <v>21</v>
      </c>
      <c r="M60" s="23" t="s">
        <v>22</v>
      </c>
      <c r="N60" s="23" t="s">
        <v>23</v>
      </c>
      <c r="O60" s="23" t="s">
        <v>491</v>
      </c>
    </row>
    <row r="61" spans="1:15" ht="82.5" customHeight="1" x14ac:dyDescent="0.25">
      <c r="A61" s="30">
        <v>1198496</v>
      </c>
      <c r="B61" s="118" t="s">
        <v>425</v>
      </c>
      <c r="C61" s="23" t="s">
        <v>662</v>
      </c>
      <c r="D61" s="24" t="s">
        <v>663</v>
      </c>
      <c r="E61" s="25" t="s">
        <v>14</v>
      </c>
      <c r="F61" s="24" t="s">
        <v>664</v>
      </c>
      <c r="G61" s="24" t="s">
        <v>665</v>
      </c>
      <c r="H61" s="23" t="s">
        <v>17</v>
      </c>
      <c r="I61" s="23" t="s">
        <v>73</v>
      </c>
      <c r="J61" s="23" t="s">
        <v>103</v>
      </c>
      <c r="K61" s="24" t="s">
        <v>20</v>
      </c>
      <c r="L61" s="24" t="s">
        <v>21</v>
      </c>
      <c r="M61" s="23" t="s">
        <v>22</v>
      </c>
      <c r="N61" s="23" t="s">
        <v>23</v>
      </c>
      <c r="O61" s="23" t="s">
        <v>446</v>
      </c>
    </row>
    <row r="62" spans="1:15" ht="82.5" customHeight="1" x14ac:dyDescent="0.25">
      <c r="A62" s="30">
        <v>1198498</v>
      </c>
      <c r="B62" s="118" t="s">
        <v>425</v>
      </c>
      <c r="C62" s="23" t="s">
        <v>666</v>
      </c>
      <c r="D62" s="24" t="s">
        <v>667</v>
      </c>
      <c r="E62" s="25" t="s">
        <v>14</v>
      </c>
      <c r="F62" s="24" t="s">
        <v>668</v>
      </c>
      <c r="G62" s="24" t="s">
        <v>669</v>
      </c>
      <c r="H62" s="23" t="s">
        <v>17</v>
      </c>
      <c r="I62" s="23" t="s">
        <v>73</v>
      </c>
      <c r="J62" s="23" t="s">
        <v>103</v>
      </c>
      <c r="K62" s="24" t="s">
        <v>20</v>
      </c>
      <c r="L62" s="24" t="s">
        <v>21</v>
      </c>
      <c r="M62" s="23" t="s">
        <v>22</v>
      </c>
      <c r="N62" s="23" t="s">
        <v>23</v>
      </c>
      <c r="O62" s="23" t="s">
        <v>446</v>
      </c>
    </row>
    <row r="63" spans="1:15" ht="82.5" customHeight="1" x14ac:dyDescent="0.25">
      <c r="A63" s="30">
        <v>1198499</v>
      </c>
      <c r="B63" s="118" t="s">
        <v>425</v>
      </c>
      <c r="C63" s="23" t="s">
        <v>670</v>
      </c>
      <c r="D63" s="24" t="s">
        <v>671</v>
      </c>
      <c r="E63" s="25" t="s">
        <v>14</v>
      </c>
      <c r="F63" s="24" t="s">
        <v>672</v>
      </c>
      <c r="G63" s="24" t="s">
        <v>673</v>
      </c>
      <c r="H63" s="23" t="s">
        <v>17</v>
      </c>
      <c r="I63" s="23" t="s">
        <v>73</v>
      </c>
      <c r="J63" s="23" t="s">
        <v>103</v>
      </c>
      <c r="K63" s="24" t="s">
        <v>74</v>
      </c>
      <c r="L63" s="24" t="s">
        <v>21</v>
      </c>
      <c r="M63" s="23" t="s">
        <v>22</v>
      </c>
      <c r="N63" s="23" t="s">
        <v>23</v>
      </c>
      <c r="O63" s="23" t="s">
        <v>491</v>
      </c>
    </row>
    <row r="64" spans="1:15" ht="82.5" customHeight="1" x14ac:dyDescent="0.25">
      <c r="A64" s="30">
        <v>1198500</v>
      </c>
      <c r="B64" s="118" t="s">
        <v>425</v>
      </c>
      <c r="C64" s="23" t="s">
        <v>674</v>
      </c>
      <c r="D64" s="24" t="s">
        <v>675</v>
      </c>
      <c r="E64" s="25" t="s">
        <v>14</v>
      </c>
      <c r="F64" s="24" t="s">
        <v>676</v>
      </c>
      <c r="G64" s="24" t="s">
        <v>677</v>
      </c>
      <c r="H64" s="23" t="s">
        <v>17</v>
      </c>
      <c r="I64" s="23" t="s">
        <v>73</v>
      </c>
      <c r="J64" s="23" t="s">
        <v>103</v>
      </c>
      <c r="K64" s="24" t="s">
        <v>74</v>
      </c>
      <c r="L64" s="24" t="s">
        <v>21</v>
      </c>
      <c r="M64" s="23" t="s">
        <v>22</v>
      </c>
      <c r="N64" s="23" t="s">
        <v>23</v>
      </c>
      <c r="O64" s="23" t="s">
        <v>446</v>
      </c>
    </row>
    <row r="65" spans="1:15" ht="123" customHeight="1" x14ac:dyDescent="0.25">
      <c r="A65" s="30">
        <v>1198501</v>
      </c>
      <c r="B65" s="118" t="s">
        <v>425</v>
      </c>
      <c r="C65" s="23" t="s">
        <v>678</v>
      </c>
      <c r="D65" s="24" t="s">
        <v>679</v>
      </c>
      <c r="E65" s="25" t="s">
        <v>14</v>
      </c>
      <c r="F65" s="24" t="s">
        <v>680</v>
      </c>
      <c r="G65" s="24" t="s">
        <v>681</v>
      </c>
      <c r="H65" s="23" t="s">
        <v>17</v>
      </c>
      <c r="I65" s="23" t="s">
        <v>73</v>
      </c>
      <c r="J65" s="23" t="s">
        <v>103</v>
      </c>
      <c r="K65" s="24" t="s">
        <v>74</v>
      </c>
      <c r="L65" s="24" t="s">
        <v>21</v>
      </c>
      <c r="M65" s="23" t="s">
        <v>22</v>
      </c>
      <c r="N65" s="23" t="s">
        <v>23</v>
      </c>
      <c r="O65" s="23" t="s">
        <v>446</v>
      </c>
    </row>
    <row r="66" spans="1:15" ht="123" customHeight="1" x14ac:dyDescent="0.25">
      <c r="A66" s="30">
        <v>1198502</v>
      </c>
      <c r="B66" s="118" t="s">
        <v>425</v>
      </c>
      <c r="C66" s="23" t="s">
        <v>682</v>
      </c>
      <c r="D66" s="24" t="s">
        <v>683</v>
      </c>
      <c r="E66" s="25" t="s">
        <v>14</v>
      </c>
      <c r="F66" s="24" t="s">
        <v>684</v>
      </c>
      <c r="G66" s="24" t="s">
        <v>685</v>
      </c>
      <c r="H66" s="23" t="s">
        <v>17</v>
      </c>
      <c r="I66" s="23" t="s">
        <v>73</v>
      </c>
      <c r="J66" s="23" t="s">
        <v>103</v>
      </c>
      <c r="K66" s="24" t="s">
        <v>74</v>
      </c>
      <c r="L66" s="24" t="s">
        <v>21</v>
      </c>
      <c r="M66" s="23" t="s">
        <v>22</v>
      </c>
      <c r="N66" s="23" t="s">
        <v>23</v>
      </c>
      <c r="O66" s="23" t="s">
        <v>491</v>
      </c>
    </row>
    <row r="67" spans="1:15" ht="123" customHeight="1" x14ac:dyDescent="0.25">
      <c r="A67" s="30">
        <v>1198504</v>
      </c>
      <c r="B67" s="118" t="s">
        <v>425</v>
      </c>
      <c r="C67" s="23" t="s">
        <v>686</v>
      </c>
      <c r="D67" s="24" t="s">
        <v>687</v>
      </c>
      <c r="E67" s="25" t="s">
        <v>14</v>
      </c>
      <c r="F67" s="24" t="s">
        <v>688</v>
      </c>
      <c r="G67" s="24" t="s">
        <v>689</v>
      </c>
      <c r="H67" s="23" t="s">
        <v>17</v>
      </c>
      <c r="I67" s="23" t="s">
        <v>73</v>
      </c>
      <c r="J67" s="23" t="s">
        <v>103</v>
      </c>
      <c r="K67" s="24" t="s">
        <v>74</v>
      </c>
      <c r="L67" s="24" t="s">
        <v>21</v>
      </c>
      <c r="M67" s="23" t="s">
        <v>22</v>
      </c>
      <c r="N67" s="23" t="s">
        <v>23</v>
      </c>
      <c r="O67" s="23" t="s">
        <v>491</v>
      </c>
    </row>
    <row r="68" spans="1:15" ht="123" customHeight="1" x14ac:dyDescent="0.25">
      <c r="A68" s="30">
        <v>1198505</v>
      </c>
      <c r="B68" s="118" t="s">
        <v>425</v>
      </c>
      <c r="C68" s="23" t="s">
        <v>690</v>
      </c>
      <c r="D68" s="24" t="s">
        <v>691</v>
      </c>
      <c r="E68" s="25" t="s">
        <v>14</v>
      </c>
      <c r="F68" s="24" t="s">
        <v>692</v>
      </c>
      <c r="G68" s="24" t="s">
        <v>693</v>
      </c>
      <c r="H68" s="23" t="s">
        <v>17</v>
      </c>
      <c r="I68" s="23" t="s">
        <v>73</v>
      </c>
      <c r="J68" s="23" t="s">
        <v>103</v>
      </c>
      <c r="K68" s="24" t="s">
        <v>74</v>
      </c>
      <c r="L68" s="24" t="s">
        <v>21</v>
      </c>
      <c r="M68" s="23" t="s">
        <v>22</v>
      </c>
      <c r="N68" s="23" t="s">
        <v>23</v>
      </c>
      <c r="O68" s="23" t="s">
        <v>491</v>
      </c>
    </row>
    <row r="69" spans="1:15" ht="123" customHeight="1" x14ac:dyDescent="0.25">
      <c r="A69" s="30">
        <v>1198506</v>
      </c>
      <c r="B69" s="118" t="s">
        <v>425</v>
      </c>
      <c r="C69" s="23" t="s">
        <v>694</v>
      </c>
      <c r="D69" s="24" t="s">
        <v>695</v>
      </c>
      <c r="E69" s="25" t="s">
        <v>14</v>
      </c>
      <c r="F69" s="24" t="s">
        <v>696</v>
      </c>
      <c r="G69" s="24" t="s">
        <v>697</v>
      </c>
      <c r="H69" s="23" t="s">
        <v>17</v>
      </c>
      <c r="I69" s="23" t="s">
        <v>73</v>
      </c>
      <c r="J69" s="23" t="s">
        <v>103</v>
      </c>
      <c r="K69" s="24" t="s">
        <v>74</v>
      </c>
      <c r="L69" s="24" t="s">
        <v>21</v>
      </c>
      <c r="M69" s="23" t="s">
        <v>22</v>
      </c>
      <c r="N69" s="23" t="s">
        <v>23</v>
      </c>
      <c r="O69" s="23" t="s">
        <v>491</v>
      </c>
    </row>
    <row r="70" spans="1:15" ht="123" customHeight="1" x14ac:dyDescent="0.25">
      <c r="A70" s="30">
        <v>1198508</v>
      </c>
      <c r="B70" s="118" t="s">
        <v>425</v>
      </c>
      <c r="C70" s="23" t="s">
        <v>698</v>
      </c>
      <c r="D70" s="24" t="s">
        <v>699</v>
      </c>
      <c r="E70" s="25" t="s">
        <v>14</v>
      </c>
      <c r="F70" s="24" t="s">
        <v>700</v>
      </c>
      <c r="G70" s="24" t="s">
        <v>701</v>
      </c>
      <c r="H70" s="23" t="s">
        <v>17</v>
      </c>
      <c r="I70" s="23" t="s">
        <v>73</v>
      </c>
      <c r="J70" s="23" t="s">
        <v>103</v>
      </c>
      <c r="K70" s="24" t="s">
        <v>74</v>
      </c>
      <c r="L70" s="24" t="s">
        <v>21</v>
      </c>
      <c r="M70" s="23" t="s">
        <v>22</v>
      </c>
      <c r="N70" s="23" t="s">
        <v>23</v>
      </c>
      <c r="O70" s="23" t="s">
        <v>491</v>
      </c>
    </row>
    <row r="71" spans="1:15" ht="123" customHeight="1" x14ac:dyDescent="0.25">
      <c r="A71" s="30">
        <v>1198509</v>
      </c>
      <c r="B71" s="118" t="s">
        <v>425</v>
      </c>
      <c r="C71" s="23" t="s">
        <v>702</v>
      </c>
      <c r="D71" s="24" t="s">
        <v>703</v>
      </c>
      <c r="E71" s="25" t="s">
        <v>14</v>
      </c>
      <c r="F71" s="24" t="s">
        <v>704</v>
      </c>
      <c r="G71" s="24" t="s">
        <v>705</v>
      </c>
      <c r="H71" s="23" t="s">
        <v>17</v>
      </c>
      <c r="I71" s="23" t="s">
        <v>73</v>
      </c>
      <c r="J71" s="23" t="s">
        <v>103</v>
      </c>
      <c r="K71" s="24" t="s">
        <v>74</v>
      </c>
      <c r="L71" s="24" t="s">
        <v>21</v>
      </c>
      <c r="M71" s="23" t="s">
        <v>22</v>
      </c>
      <c r="N71" s="23" t="s">
        <v>23</v>
      </c>
      <c r="O71" s="23"/>
    </row>
    <row r="72" spans="1:15" ht="123" customHeight="1" x14ac:dyDescent="0.25">
      <c r="A72" s="30">
        <v>1198511</v>
      </c>
      <c r="B72" s="118" t="s">
        <v>425</v>
      </c>
      <c r="C72" s="23" t="s">
        <v>706</v>
      </c>
      <c r="D72" s="24" t="s">
        <v>707</v>
      </c>
      <c r="E72" s="25" t="s">
        <v>14</v>
      </c>
      <c r="F72" s="24" t="s">
        <v>708</v>
      </c>
      <c r="G72" s="24" t="s">
        <v>709</v>
      </c>
      <c r="H72" s="23" t="s">
        <v>17</v>
      </c>
      <c r="I72" s="23" t="s">
        <v>73</v>
      </c>
      <c r="J72" s="23" t="s">
        <v>103</v>
      </c>
      <c r="K72" s="24" t="s">
        <v>74</v>
      </c>
      <c r="L72" s="24" t="s">
        <v>21</v>
      </c>
      <c r="M72" s="23" t="s">
        <v>22</v>
      </c>
      <c r="N72" s="23" t="s">
        <v>23</v>
      </c>
      <c r="O72" s="23"/>
    </row>
    <row r="73" spans="1:15" ht="123" customHeight="1" x14ac:dyDescent="0.25">
      <c r="A73" s="30">
        <v>1198512</v>
      </c>
      <c r="B73" s="118" t="s">
        <v>425</v>
      </c>
      <c r="C73" s="23" t="s">
        <v>710</v>
      </c>
      <c r="D73" s="24" t="s">
        <v>711</v>
      </c>
      <c r="E73" s="25" t="s">
        <v>14</v>
      </c>
      <c r="F73" s="24" t="s">
        <v>712</v>
      </c>
      <c r="G73" s="24" t="s">
        <v>713</v>
      </c>
      <c r="H73" s="23" t="s">
        <v>17</v>
      </c>
      <c r="I73" s="23" t="s">
        <v>73</v>
      </c>
      <c r="J73" s="23" t="s">
        <v>103</v>
      </c>
      <c r="K73" s="24" t="s">
        <v>74</v>
      </c>
      <c r="L73" s="24" t="s">
        <v>21</v>
      </c>
      <c r="M73" s="23" t="s">
        <v>22</v>
      </c>
      <c r="N73" s="23" t="s">
        <v>23</v>
      </c>
      <c r="O73" s="23"/>
    </row>
    <row r="74" spans="1:15" ht="123" customHeight="1" x14ac:dyDescent="0.25">
      <c r="A74" s="30">
        <v>1198513</v>
      </c>
      <c r="B74" s="118" t="s">
        <v>425</v>
      </c>
      <c r="C74" s="23" t="s">
        <v>714</v>
      </c>
      <c r="D74" s="24" t="s">
        <v>715</v>
      </c>
      <c r="E74" s="25" t="s">
        <v>14</v>
      </c>
      <c r="F74" s="24" t="s">
        <v>716</v>
      </c>
      <c r="G74" s="24" t="s">
        <v>717</v>
      </c>
      <c r="H74" s="23" t="s">
        <v>17</v>
      </c>
      <c r="I74" s="23" t="s">
        <v>73</v>
      </c>
      <c r="J74" s="23" t="s">
        <v>103</v>
      </c>
      <c r="K74" s="24" t="s">
        <v>74</v>
      </c>
      <c r="L74" s="24" t="s">
        <v>21</v>
      </c>
      <c r="M74" s="23" t="s">
        <v>22</v>
      </c>
      <c r="N74" s="23" t="s">
        <v>23</v>
      </c>
      <c r="O74" s="23"/>
    </row>
    <row r="75" spans="1:15" ht="82.5" customHeight="1" x14ac:dyDescent="0.25">
      <c r="A75" s="30">
        <v>1198514</v>
      </c>
      <c r="B75" s="118" t="s">
        <v>425</v>
      </c>
      <c r="C75" s="23" t="s">
        <v>718</v>
      </c>
      <c r="D75" s="24" t="s">
        <v>719</v>
      </c>
      <c r="E75" s="25" t="s">
        <v>14</v>
      </c>
      <c r="F75" s="24" t="s">
        <v>720</v>
      </c>
      <c r="G75" s="24" t="s">
        <v>721</v>
      </c>
      <c r="H75" s="23" t="s">
        <v>17</v>
      </c>
      <c r="I75" s="23" t="s">
        <v>73</v>
      </c>
      <c r="J75" s="23" t="s">
        <v>103</v>
      </c>
      <c r="K75" s="24" t="s">
        <v>74</v>
      </c>
      <c r="L75" s="24" t="s">
        <v>21</v>
      </c>
      <c r="M75" s="23" t="s">
        <v>22</v>
      </c>
      <c r="N75" s="23" t="s">
        <v>23</v>
      </c>
      <c r="O75" s="23" t="s">
        <v>491</v>
      </c>
    </row>
    <row r="76" spans="1:15" ht="82.5" customHeight="1" x14ac:dyDescent="0.25">
      <c r="A76" s="30">
        <v>1198516</v>
      </c>
      <c r="B76" s="118" t="s">
        <v>425</v>
      </c>
      <c r="C76" s="23" t="s">
        <v>722</v>
      </c>
      <c r="D76" s="24" t="s">
        <v>723</v>
      </c>
      <c r="E76" s="25" t="s">
        <v>14</v>
      </c>
      <c r="F76" s="24" t="s">
        <v>724</v>
      </c>
      <c r="G76" s="24" t="s">
        <v>725</v>
      </c>
      <c r="H76" s="23" t="s">
        <v>17</v>
      </c>
      <c r="I76" s="23" t="s">
        <v>73</v>
      </c>
      <c r="J76" s="23" t="s">
        <v>103</v>
      </c>
      <c r="K76" s="24" t="s">
        <v>74</v>
      </c>
      <c r="L76" s="24" t="s">
        <v>21</v>
      </c>
      <c r="M76" s="23" t="s">
        <v>22</v>
      </c>
      <c r="N76" s="23" t="s">
        <v>23</v>
      </c>
      <c r="O76" s="23" t="s">
        <v>491</v>
      </c>
    </row>
    <row r="77" spans="1:15" ht="136.5" customHeight="1" x14ac:dyDescent="0.25">
      <c r="A77" s="30">
        <v>1198517</v>
      </c>
      <c r="B77" s="118" t="s">
        <v>425</v>
      </c>
      <c r="C77" s="23" t="s">
        <v>726</v>
      </c>
      <c r="D77" s="24" t="s">
        <v>727</v>
      </c>
      <c r="E77" s="25" t="s">
        <v>14</v>
      </c>
      <c r="F77" s="24" t="s">
        <v>728</v>
      </c>
      <c r="G77" s="24" t="s">
        <v>729</v>
      </c>
      <c r="H77" s="23" t="s">
        <v>17</v>
      </c>
      <c r="I77" s="23" t="s">
        <v>73</v>
      </c>
      <c r="J77" s="23" t="s">
        <v>103</v>
      </c>
      <c r="K77" s="24" t="s">
        <v>74</v>
      </c>
      <c r="L77" s="24" t="s">
        <v>21</v>
      </c>
      <c r="M77" s="23" t="s">
        <v>22</v>
      </c>
      <c r="N77" s="23" t="s">
        <v>23</v>
      </c>
      <c r="O77" s="23" t="s">
        <v>491</v>
      </c>
    </row>
    <row r="78" spans="1:15" ht="82.5" customHeight="1" x14ac:dyDescent="0.25">
      <c r="A78" s="30">
        <v>1198518</v>
      </c>
      <c r="B78" s="118" t="s">
        <v>425</v>
      </c>
      <c r="C78" s="23" t="s">
        <v>730</v>
      </c>
      <c r="D78" s="24" t="s">
        <v>731</v>
      </c>
      <c r="E78" s="25" t="s">
        <v>14</v>
      </c>
      <c r="F78" s="24" t="s">
        <v>732</v>
      </c>
      <c r="G78" s="24" t="s">
        <v>733</v>
      </c>
      <c r="H78" s="23" t="s">
        <v>17</v>
      </c>
      <c r="I78" s="23" t="s">
        <v>73</v>
      </c>
      <c r="J78" s="23" t="s">
        <v>19</v>
      </c>
      <c r="K78" s="24" t="s">
        <v>74</v>
      </c>
      <c r="L78" s="24" t="s">
        <v>21</v>
      </c>
      <c r="M78" s="23" t="s">
        <v>76</v>
      </c>
      <c r="N78" s="23" t="s">
        <v>23</v>
      </c>
      <c r="O78" s="23" t="s">
        <v>446</v>
      </c>
    </row>
    <row r="79" spans="1:15" ht="82.5" customHeight="1" x14ac:dyDescent="0.25">
      <c r="A79" s="30">
        <v>1198520</v>
      </c>
      <c r="B79" s="118" t="s">
        <v>425</v>
      </c>
      <c r="C79" s="23" t="s">
        <v>734</v>
      </c>
      <c r="D79" s="24" t="s">
        <v>735</v>
      </c>
      <c r="E79" s="25" t="s">
        <v>14</v>
      </c>
      <c r="F79" s="24" t="s">
        <v>736</v>
      </c>
      <c r="G79" s="24" t="s">
        <v>737</v>
      </c>
      <c r="H79" s="23" t="s">
        <v>17</v>
      </c>
      <c r="I79" s="23" t="s">
        <v>73</v>
      </c>
      <c r="J79" s="23" t="s">
        <v>103</v>
      </c>
      <c r="K79" s="24" t="s">
        <v>74</v>
      </c>
      <c r="L79" s="24" t="s">
        <v>21</v>
      </c>
      <c r="M79" s="23" t="s">
        <v>22</v>
      </c>
      <c r="N79" s="23" t="s">
        <v>23</v>
      </c>
      <c r="O79" s="23" t="s">
        <v>491</v>
      </c>
    </row>
    <row r="80" spans="1:15" ht="82.5" customHeight="1" x14ac:dyDescent="0.25">
      <c r="A80" s="30">
        <v>1198521</v>
      </c>
      <c r="B80" s="118" t="s">
        <v>425</v>
      </c>
      <c r="C80" s="23" t="s">
        <v>738</v>
      </c>
      <c r="D80" s="24" t="s">
        <v>739</v>
      </c>
      <c r="E80" s="25" t="s">
        <v>14</v>
      </c>
      <c r="F80" s="24" t="s">
        <v>740</v>
      </c>
      <c r="G80" s="24" t="s">
        <v>741</v>
      </c>
      <c r="H80" s="23" t="s">
        <v>17</v>
      </c>
      <c r="I80" s="23" t="s">
        <v>73</v>
      </c>
      <c r="J80" s="23" t="s">
        <v>103</v>
      </c>
      <c r="K80" s="24" t="s">
        <v>74</v>
      </c>
      <c r="L80" s="24" t="s">
        <v>21</v>
      </c>
      <c r="M80" s="23" t="s">
        <v>22</v>
      </c>
      <c r="N80" s="23" t="s">
        <v>23</v>
      </c>
      <c r="O80" s="23" t="s">
        <v>446</v>
      </c>
    </row>
    <row r="81" spans="1:15" ht="82.5" customHeight="1" x14ac:dyDescent="0.25">
      <c r="A81" s="30">
        <v>1198522</v>
      </c>
      <c r="B81" s="118" t="s">
        <v>425</v>
      </c>
      <c r="C81" s="23" t="s">
        <v>742</v>
      </c>
      <c r="D81" s="24" t="s">
        <v>743</v>
      </c>
      <c r="E81" s="25" t="s">
        <v>14</v>
      </c>
      <c r="F81" s="24" t="s">
        <v>744</v>
      </c>
      <c r="G81" s="24" t="s">
        <v>745</v>
      </c>
      <c r="H81" s="23" t="s">
        <v>17</v>
      </c>
      <c r="I81" s="23" t="s">
        <v>73</v>
      </c>
      <c r="J81" s="23" t="s">
        <v>103</v>
      </c>
      <c r="K81" s="24" t="s">
        <v>74</v>
      </c>
      <c r="L81" s="24" t="s">
        <v>21</v>
      </c>
      <c r="M81" s="23" t="s">
        <v>22</v>
      </c>
      <c r="N81" s="23" t="s">
        <v>23</v>
      </c>
      <c r="O81" s="23" t="s">
        <v>446</v>
      </c>
    </row>
    <row r="82" spans="1:15" ht="82.5" customHeight="1" x14ac:dyDescent="0.25">
      <c r="A82" s="30">
        <v>1198524</v>
      </c>
      <c r="B82" s="118" t="s">
        <v>425</v>
      </c>
      <c r="C82" s="23" t="s">
        <v>746</v>
      </c>
      <c r="D82" s="24" t="s">
        <v>747</v>
      </c>
      <c r="E82" s="25" t="s">
        <v>14</v>
      </c>
      <c r="F82" s="24" t="s">
        <v>748</v>
      </c>
      <c r="G82" s="24" t="s">
        <v>749</v>
      </c>
      <c r="H82" s="23" t="s">
        <v>17</v>
      </c>
      <c r="I82" s="23" t="s">
        <v>73</v>
      </c>
      <c r="J82" s="23" t="s">
        <v>103</v>
      </c>
      <c r="K82" s="24" t="s">
        <v>74</v>
      </c>
      <c r="L82" s="24" t="s">
        <v>21</v>
      </c>
      <c r="M82" s="23" t="s">
        <v>22</v>
      </c>
      <c r="N82" s="23" t="s">
        <v>23</v>
      </c>
      <c r="O82" s="23" t="s">
        <v>446</v>
      </c>
    </row>
    <row r="83" spans="1:15" ht="82.5" customHeight="1" x14ac:dyDescent="0.25">
      <c r="A83" s="30">
        <v>1198525</v>
      </c>
      <c r="B83" s="118" t="s">
        <v>425</v>
      </c>
      <c r="C83" s="23" t="s">
        <v>750</v>
      </c>
      <c r="D83" s="24" t="s">
        <v>751</v>
      </c>
      <c r="E83" s="25" t="s">
        <v>14</v>
      </c>
      <c r="F83" s="24" t="s">
        <v>752</v>
      </c>
      <c r="G83" s="24" t="s">
        <v>753</v>
      </c>
      <c r="H83" s="23" t="s">
        <v>17</v>
      </c>
      <c r="I83" s="23" t="s">
        <v>73</v>
      </c>
      <c r="J83" s="23" t="s">
        <v>103</v>
      </c>
      <c r="K83" s="24" t="s">
        <v>74</v>
      </c>
      <c r="L83" s="24" t="s">
        <v>21</v>
      </c>
      <c r="M83" s="23" t="s">
        <v>22</v>
      </c>
      <c r="N83" s="23" t="s">
        <v>23</v>
      </c>
      <c r="O83" s="23" t="s">
        <v>491</v>
      </c>
    </row>
    <row r="84" spans="1:15" ht="82.5" customHeight="1" x14ac:dyDescent="0.25">
      <c r="A84" s="30">
        <v>1198526</v>
      </c>
      <c r="B84" s="118" t="s">
        <v>425</v>
      </c>
      <c r="C84" s="23" t="s">
        <v>754</v>
      </c>
      <c r="D84" s="24" t="s">
        <v>755</v>
      </c>
      <c r="E84" s="25" t="s">
        <v>14</v>
      </c>
      <c r="F84" s="24" t="s">
        <v>756</v>
      </c>
      <c r="G84" s="24" t="s">
        <v>757</v>
      </c>
      <c r="H84" s="23" t="s">
        <v>17</v>
      </c>
      <c r="I84" s="23" t="s">
        <v>73</v>
      </c>
      <c r="J84" s="23" t="s">
        <v>103</v>
      </c>
      <c r="K84" s="24" t="s">
        <v>74</v>
      </c>
      <c r="L84" s="24" t="s">
        <v>21</v>
      </c>
      <c r="M84" s="23" t="s">
        <v>22</v>
      </c>
      <c r="N84" s="23" t="s">
        <v>23</v>
      </c>
      <c r="O84" s="23" t="s">
        <v>446</v>
      </c>
    </row>
    <row r="85" spans="1:15" ht="82.5" customHeight="1" x14ac:dyDescent="0.25">
      <c r="A85" s="30">
        <v>1198528</v>
      </c>
      <c r="B85" s="118" t="s">
        <v>425</v>
      </c>
      <c r="C85" s="23" t="s">
        <v>758</v>
      </c>
      <c r="D85" s="24" t="s">
        <v>759</v>
      </c>
      <c r="E85" s="25" t="s">
        <v>14</v>
      </c>
      <c r="F85" s="24" t="s">
        <v>760</v>
      </c>
      <c r="G85" s="24" t="s">
        <v>761</v>
      </c>
      <c r="H85" s="23" t="s">
        <v>17</v>
      </c>
      <c r="I85" s="23" t="s">
        <v>73</v>
      </c>
      <c r="J85" s="23" t="s">
        <v>103</v>
      </c>
      <c r="K85" s="24" t="s">
        <v>74</v>
      </c>
      <c r="L85" s="24" t="s">
        <v>21</v>
      </c>
      <c r="M85" s="23" t="s">
        <v>22</v>
      </c>
      <c r="N85" s="23" t="s">
        <v>23</v>
      </c>
      <c r="O85" s="23" t="s">
        <v>446</v>
      </c>
    </row>
    <row r="86" spans="1:15" ht="82.5" customHeight="1" x14ac:dyDescent="0.25">
      <c r="A86" s="30">
        <v>1198529</v>
      </c>
      <c r="B86" s="118" t="s">
        <v>425</v>
      </c>
      <c r="C86" s="23" t="s">
        <v>762</v>
      </c>
      <c r="D86" s="24" t="s">
        <v>763</v>
      </c>
      <c r="E86" s="25" t="s">
        <v>14</v>
      </c>
      <c r="F86" s="24" t="s">
        <v>764</v>
      </c>
      <c r="G86" s="24" t="s">
        <v>765</v>
      </c>
      <c r="H86" s="23" t="s">
        <v>17</v>
      </c>
      <c r="I86" s="23" t="s">
        <v>73</v>
      </c>
      <c r="J86" s="23" t="s">
        <v>103</v>
      </c>
      <c r="K86" s="24" t="s">
        <v>74</v>
      </c>
      <c r="L86" s="24" t="s">
        <v>21</v>
      </c>
      <c r="M86" s="23" t="s">
        <v>22</v>
      </c>
      <c r="N86" s="23" t="s">
        <v>23</v>
      </c>
      <c r="O86" s="23" t="s">
        <v>446</v>
      </c>
    </row>
    <row r="87" spans="1:15" ht="82.5" customHeight="1" x14ac:dyDescent="0.25">
      <c r="A87" s="30">
        <v>1198530</v>
      </c>
      <c r="B87" s="118" t="s">
        <v>425</v>
      </c>
      <c r="C87" s="23" t="s">
        <v>766</v>
      </c>
      <c r="D87" s="24" t="s">
        <v>767</v>
      </c>
      <c r="E87" s="25" t="s">
        <v>14</v>
      </c>
      <c r="F87" s="24" t="s">
        <v>768</v>
      </c>
      <c r="G87" s="24" t="s">
        <v>769</v>
      </c>
      <c r="H87" s="23" t="s">
        <v>17</v>
      </c>
      <c r="I87" s="23" t="s">
        <v>73</v>
      </c>
      <c r="J87" s="23" t="s">
        <v>103</v>
      </c>
      <c r="K87" s="24" t="s">
        <v>74</v>
      </c>
      <c r="L87" s="24" t="s">
        <v>21</v>
      </c>
      <c r="M87" s="23" t="s">
        <v>22</v>
      </c>
      <c r="N87" s="23" t="s">
        <v>23</v>
      </c>
      <c r="O87" s="23" t="s">
        <v>446</v>
      </c>
    </row>
    <row r="88" spans="1:15" ht="82.5" customHeight="1" x14ac:dyDescent="0.25">
      <c r="A88" s="30">
        <v>1198531</v>
      </c>
      <c r="B88" s="118" t="s">
        <v>425</v>
      </c>
      <c r="C88" s="23" t="s">
        <v>770</v>
      </c>
      <c r="D88" s="24" t="s">
        <v>771</v>
      </c>
      <c r="E88" s="25" t="s">
        <v>14</v>
      </c>
      <c r="F88" s="24" t="s">
        <v>772</v>
      </c>
      <c r="G88" s="24" t="s">
        <v>773</v>
      </c>
      <c r="H88" s="23" t="s">
        <v>17</v>
      </c>
      <c r="I88" s="23" t="s">
        <v>73</v>
      </c>
      <c r="J88" s="23" t="s">
        <v>103</v>
      </c>
      <c r="K88" s="24" t="s">
        <v>74</v>
      </c>
      <c r="L88" s="24" t="s">
        <v>21</v>
      </c>
      <c r="M88" s="23" t="s">
        <v>22</v>
      </c>
      <c r="N88" s="23" t="s">
        <v>23</v>
      </c>
      <c r="O88" s="23" t="s">
        <v>491</v>
      </c>
    </row>
    <row r="89" spans="1:15" ht="82.5" customHeight="1" x14ac:dyDescent="0.25">
      <c r="A89" s="30">
        <v>1198533</v>
      </c>
      <c r="B89" s="118" t="s">
        <v>425</v>
      </c>
      <c r="C89" s="23" t="s">
        <v>774</v>
      </c>
      <c r="D89" s="24" t="s">
        <v>775</v>
      </c>
      <c r="E89" s="25" t="s">
        <v>14</v>
      </c>
      <c r="F89" s="24" t="s">
        <v>776</v>
      </c>
      <c r="G89" s="24" t="s">
        <v>777</v>
      </c>
      <c r="H89" s="23" t="s">
        <v>17</v>
      </c>
      <c r="I89" s="23" t="s">
        <v>73</v>
      </c>
      <c r="J89" s="23" t="s">
        <v>103</v>
      </c>
      <c r="K89" s="24" t="s">
        <v>74</v>
      </c>
      <c r="L89" s="24" t="s">
        <v>21</v>
      </c>
      <c r="M89" s="23" t="s">
        <v>22</v>
      </c>
      <c r="N89" s="23" t="s">
        <v>23</v>
      </c>
      <c r="O89" s="23" t="s">
        <v>491</v>
      </c>
    </row>
    <row r="90" spans="1:15" ht="123" customHeight="1" x14ac:dyDescent="0.25">
      <c r="A90" s="30">
        <v>1198534</v>
      </c>
      <c r="B90" s="118" t="s">
        <v>425</v>
      </c>
      <c r="C90" s="23" t="s">
        <v>778</v>
      </c>
      <c r="D90" s="24" t="s">
        <v>779</v>
      </c>
      <c r="E90" s="25" t="s">
        <v>14</v>
      </c>
      <c r="F90" s="24" t="s">
        <v>780</v>
      </c>
      <c r="G90" s="24" t="s">
        <v>781</v>
      </c>
      <c r="H90" s="23" t="s">
        <v>17</v>
      </c>
      <c r="I90" s="23" t="s">
        <v>73</v>
      </c>
      <c r="J90" s="23" t="s">
        <v>103</v>
      </c>
      <c r="K90" s="24" t="s">
        <v>74</v>
      </c>
      <c r="L90" s="24" t="s">
        <v>21</v>
      </c>
      <c r="M90" s="23" t="s">
        <v>22</v>
      </c>
      <c r="N90" s="23" t="s">
        <v>23</v>
      </c>
      <c r="O90" s="23" t="s">
        <v>491</v>
      </c>
    </row>
    <row r="91" spans="1:15" ht="82.5" customHeight="1" x14ac:dyDescent="0.25">
      <c r="A91" s="30">
        <v>1198535</v>
      </c>
      <c r="B91" s="118" t="s">
        <v>425</v>
      </c>
      <c r="C91" s="23" t="s">
        <v>782</v>
      </c>
      <c r="D91" s="24" t="s">
        <v>783</v>
      </c>
      <c r="E91" s="25" t="s">
        <v>14</v>
      </c>
      <c r="F91" s="24" t="s">
        <v>784</v>
      </c>
      <c r="G91" s="24" t="s">
        <v>785</v>
      </c>
      <c r="H91" s="23" t="s">
        <v>17</v>
      </c>
      <c r="I91" s="23" t="s">
        <v>73</v>
      </c>
      <c r="J91" s="23" t="s">
        <v>103</v>
      </c>
      <c r="K91" s="24" t="s">
        <v>74</v>
      </c>
      <c r="L91" s="24" t="s">
        <v>21</v>
      </c>
      <c r="M91" s="23" t="s">
        <v>22</v>
      </c>
      <c r="N91" s="23" t="s">
        <v>23</v>
      </c>
      <c r="O91" s="23" t="s">
        <v>491</v>
      </c>
    </row>
    <row r="92" spans="1:15" ht="82.5" customHeight="1" x14ac:dyDescent="0.25">
      <c r="A92" s="30">
        <v>1198536</v>
      </c>
      <c r="B92" s="118" t="s">
        <v>425</v>
      </c>
      <c r="C92" s="23" t="s">
        <v>786</v>
      </c>
      <c r="D92" s="24" t="s">
        <v>787</v>
      </c>
      <c r="E92" s="25" t="s">
        <v>14</v>
      </c>
      <c r="F92" s="24" t="s">
        <v>788</v>
      </c>
      <c r="G92" s="24" t="s">
        <v>789</v>
      </c>
      <c r="H92" s="23" t="s">
        <v>17</v>
      </c>
      <c r="I92" s="23" t="s">
        <v>73</v>
      </c>
      <c r="J92" s="23" t="s">
        <v>103</v>
      </c>
      <c r="K92" s="24" t="s">
        <v>74</v>
      </c>
      <c r="L92" s="24" t="s">
        <v>21</v>
      </c>
      <c r="M92" s="23" t="s">
        <v>22</v>
      </c>
      <c r="N92" s="23" t="s">
        <v>23</v>
      </c>
      <c r="O92" s="23" t="s">
        <v>491</v>
      </c>
    </row>
    <row r="93" spans="1:15" ht="82.5" customHeight="1" x14ac:dyDescent="0.25">
      <c r="A93" s="30">
        <v>1198537</v>
      </c>
      <c r="B93" s="118" t="s">
        <v>425</v>
      </c>
      <c r="C93" s="23" t="s">
        <v>790</v>
      </c>
      <c r="D93" s="24" t="s">
        <v>791</v>
      </c>
      <c r="E93" s="25" t="s">
        <v>14</v>
      </c>
      <c r="F93" s="24" t="s">
        <v>792</v>
      </c>
      <c r="G93" s="24" t="s">
        <v>793</v>
      </c>
      <c r="H93" s="23" t="s">
        <v>17</v>
      </c>
      <c r="I93" s="23" t="s">
        <v>73</v>
      </c>
      <c r="J93" s="23" t="s">
        <v>103</v>
      </c>
      <c r="K93" s="24" t="s">
        <v>74</v>
      </c>
      <c r="L93" s="24" t="s">
        <v>21</v>
      </c>
      <c r="M93" s="23" t="s">
        <v>22</v>
      </c>
      <c r="N93" s="23" t="s">
        <v>23</v>
      </c>
      <c r="O93" s="23" t="s">
        <v>491</v>
      </c>
    </row>
    <row r="94" spans="1:15" ht="82.5" customHeight="1" x14ac:dyDescent="0.25">
      <c r="A94" s="30">
        <v>1198538</v>
      </c>
      <c r="B94" s="118" t="s">
        <v>425</v>
      </c>
      <c r="C94" s="23" t="s">
        <v>794</v>
      </c>
      <c r="D94" s="24" t="s">
        <v>795</v>
      </c>
      <c r="E94" s="25" t="s">
        <v>14</v>
      </c>
      <c r="F94" s="24" t="s">
        <v>796</v>
      </c>
      <c r="G94" s="24" t="s">
        <v>797</v>
      </c>
      <c r="H94" s="23" t="s">
        <v>17</v>
      </c>
      <c r="I94" s="23" t="s">
        <v>73</v>
      </c>
      <c r="J94" s="23" t="s">
        <v>103</v>
      </c>
      <c r="K94" s="24" t="s">
        <v>20</v>
      </c>
      <c r="L94" s="24" t="s">
        <v>21</v>
      </c>
      <c r="M94" s="23" t="s">
        <v>22</v>
      </c>
      <c r="N94" s="23" t="s">
        <v>23</v>
      </c>
      <c r="O94" s="23" t="s">
        <v>491</v>
      </c>
    </row>
    <row r="95" spans="1:15" ht="82.5" customHeight="1" x14ac:dyDescent="0.25">
      <c r="A95" s="30">
        <v>1198539</v>
      </c>
      <c r="B95" s="118" t="s">
        <v>425</v>
      </c>
      <c r="C95" s="23" t="s">
        <v>798</v>
      </c>
      <c r="D95" s="24" t="s">
        <v>799</v>
      </c>
      <c r="E95" s="25" t="s">
        <v>14</v>
      </c>
      <c r="F95" s="24" t="s">
        <v>800</v>
      </c>
      <c r="G95" s="24" t="s">
        <v>801</v>
      </c>
      <c r="H95" s="23" t="s">
        <v>17</v>
      </c>
      <c r="I95" s="23" t="s">
        <v>73</v>
      </c>
      <c r="J95" s="23" t="s">
        <v>103</v>
      </c>
      <c r="K95" s="24" t="s">
        <v>74</v>
      </c>
      <c r="L95" s="24" t="s">
        <v>21</v>
      </c>
      <c r="M95" s="23" t="s">
        <v>22</v>
      </c>
      <c r="N95" s="23" t="s">
        <v>23</v>
      </c>
      <c r="O95" s="23" t="s">
        <v>446</v>
      </c>
    </row>
    <row r="96" spans="1:15" ht="82.5" customHeight="1" x14ac:dyDescent="0.25">
      <c r="A96" s="30">
        <v>1198540</v>
      </c>
      <c r="B96" s="118" t="s">
        <v>425</v>
      </c>
      <c r="C96" s="23" t="s">
        <v>802</v>
      </c>
      <c r="D96" s="24" t="s">
        <v>803</v>
      </c>
      <c r="E96" s="25" t="s">
        <v>14</v>
      </c>
      <c r="F96" s="24" t="s">
        <v>804</v>
      </c>
      <c r="G96" s="24" t="s">
        <v>805</v>
      </c>
      <c r="H96" s="23" t="s">
        <v>17</v>
      </c>
      <c r="I96" s="23" t="s">
        <v>73</v>
      </c>
      <c r="J96" s="23" t="s">
        <v>103</v>
      </c>
      <c r="K96" s="24" t="s">
        <v>74</v>
      </c>
      <c r="L96" s="24" t="s">
        <v>21</v>
      </c>
      <c r="M96" s="23" t="s">
        <v>22</v>
      </c>
      <c r="N96" s="23" t="s">
        <v>23</v>
      </c>
      <c r="O96" s="23" t="s">
        <v>491</v>
      </c>
    </row>
    <row r="97" spans="1:15" ht="136.5" customHeight="1" x14ac:dyDescent="0.25">
      <c r="A97" s="30">
        <v>1198541</v>
      </c>
      <c r="B97" s="118" t="s">
        <v>425</v>
      </c>
      <c r="C97" s="23" t="s">
        <v>806</v>
      </c>
      <c r="D97" s="24" t="s">
        <v>807</v>
      </c>
      <c r="E97" s="25" t="s">
        <v>14</v>
      </c>
      <c r="F97" s="24" t="s">
        <v>808</v>
      </c>
      <c r="G97" s="24" t="s">
        <v>809</v>
      </c>
      <c r="H97" s="23" t="s">
        <v>17</v>
      </c>
      <c r="I97" s="23" t="s">
        <v>73</v>
      </c>
      <c r="J97" s="23" t="s">
        <v>103</v>
      </c>
      <c r="K97" s="24" t="s">
        <v>74</v>
      </c>
      <c r="L97" s="24" t="s">
        <v>21</v>
      </c>
      <c r="M97" s="23" t="s">
        <v>22</v>
      </c>
      <c r="N97" s="23" t="s">
        <v>23</v>
      </c>
      <c r="O97" s="23" t="s">
        <v>491</v>
      </c>
    </row>
    <row r="98" spans="1:15" ht="192" customHeight="1" x14ac:dyDescent="0.25">
      <c r="A98" s="30">
        <v>1198543</v>
      </c>
      <c r="B98" s="118" t="s">
        <v>425</v>
      </c>
      <c r="C98" s="23" t="s">
        <v>810</v>
      </c>
      <c r="D98" s="24" t="s">
        <v>811</v>
      </c>
      <c r="E98" s="25" t="s">
        <v>14</v>
      </c>
      <c r="F98" s="24" t="s">
        <v>812</v>
      </c>
      <c r="G98" s="24" t="s">
        <v>813</v>
      </c>
      <c r="H98" s="23" t="s">
        <v>17</v>
      </c>
      <c r="I98" s="23" t="s">
        <v>73</v>
      </c>
      <c r="J98" s="23" t="s">
        <v>19</v>
      </c>
      <c r="K98" s="24" t="s">
        <v>20</v>
      </c>
      <c r="L98" s="24" t="s">
        <v>21</v>
      </c>
      <c r="M98" s="23" t="s">
        <v>76</v>
      </c>
      <c r="N98" s="23" t="s">
        <v>23</v>
      </c>
      <c r="O98" s="23" t="s">
        <v>491</v>
      </c>
    </row>
    <row r="99" spans="1:15" ht="109.5" customHeight="1" x14ac:dyDescent="0.25">
      <c r="A99" s="30">
        <v>1198544</v>
      </c>
      <c r="B99" s="118" t="s">
        <v>425</v>
      </c>
      <c r="C99" s="23" t="s">
        <v>814</v>
      </c>
      <c r="D99" s="37" t="s">
        <v>815</v>
      </c>
      <c r="E99" s="28" t="s">
        <v>14</v>
      </c>
      <c r="F99" s="41" t="s">
        <v>816</v>
      </c>
      <c r="G99" s="41" t="s">
        <v>817</v>
      </c>
      <c r="H99" s="23" t="s">
        <v>17</v>
      </c>
      <c r="I99" s="23" t="s">
        <v>73</v>
      </c>
      <c r="J99" s="23" t="s">
        <v>19</v>
      </c>
      <c r="K99" s="24" t="s">
        <v>74</v>
      </c>
      <c r="L99" s="24" t="s">
        <v>21</v>
      </c>
      <c r="M99" s="23" t="s">
        <v>76</v>
      </c>
      <c r="N99" s="23" t="s">
        <v>23</v>
      </c>
      <c r="O99" s="23" t="s">
        <v>446</v>
      </c>
    </row>
    <row r="100" spans="1:15" ht="109.5" customHeight="1" x14ac:dyDescent="0.25">
      <c r="A100" s="30">
        <v>1198545</v>
      </c>
      <c r="B100" s="118" t="s">
        <v>425</v>
      </c>
      <c r="C100" s="23" t="s">
        <v>818</v>
      </c>
      <c r="D100" s="25" t="s">
        <v>819</v>
      </c>
      <c r="E100" s="28" t="s">
        <v>14</v>
      </c>
      <c r="F100" s="41" t="s">
        <v>820</v>
      </c>
      <c r="G100" s="41" t="s">
        <v>821</v>
      </c>
      <c r="H100" s="23" t="s">
        <v>17</v>
      </c>
      <c r="I100" s="23" t="s">
        <v>73</v>
      </c>
      <c r="J100" s="23" t="s">
        <v>19</v>
      </c>
      <c r="K100" s="24" t="s">
        <v>74</v>
      </c>
      <c r="L100" s="24" t="s">
        <v>21</v>
      </c>
      <c r="M100" s="23" t="s">
        <v>76</v>
      </c>
      <c r="N100" s="23" t="s">
        <v>77</v>
      </c>
      <c r="O100" s="23" t="s">
        <v>491</v>
      </c>
    </row>
    <row r="101" spans="1:15" ht="96" customHeight="1" x14ac:dyDescent="0.25">
      <c r="A101" s="30">
        <v>1198546</v>
      </c>
      <c r="B101" s="118" t="s">
        <v>425</v>
      </c>
      <c r="C101" s="23" t="s">
        <v>822</v>
      </c>
      <c r="D101" s="25" t="s">
        <v>819</v>
      </c>
      <c r="E101" s="25" t="s">
        <v>14</v>
      </c>
      <c r="F101" s="41" t="s">
        <v>823</v>
      </c>
      <c r="G101" s="41" t="s">
        <v>824</v>
      </c>
      <c r="H101" s="23" t="s">
        <v>17</v>
      </c>
      <c r="I101" s="23" t="s">
        <v>73</v>
      </c>
      <c r="J101" s="23" t="s">
        <v>103</v>
      </c>
      <c r="K101" s="24" t="s">
        <v>74</v>
      </c>
      <c r="L101" s="24" t="s">
        <v>21</v>
      </c>
      <c r="M101" s="23" t="s">
        <v>22</v>
      </c>
      <c r="N101" s="23" t="s">
        <v>77</v>
      </c>
      <c r="O101" s="23" t="s">
        <v>491</v>
      </c>
    </row>
    <row r="102" spans="1:15" ht="109.5" customHeight="1" x14ac:dyDescent="0.25">
      <c r="A102" s="30">
        <v>1198547</v>
      </c>
      <c r="B102" s="118" t="s">
        <v>425</v>
      </c>
      <c r="C102" s="23" t="s">
        <v>825</v>
      </c>
      <c r="D102" s="24" t="s">
        <v>826</v>
      </c>
      <c r="E102" s="25" t="s">
        <v>827</v>
      </c>
      <c r="F102" s="24" t="s">
        <v>828</v>
      </c>
      <c r="G102" s="24" t="s">
        <v>829</v>
      </c>
      <c r="H102" s="23" t="s">
        <v>17</v>
      </c>
      <c r="I102" s="23" t="s">
        <v>73</v>
      </c>
      <c r="J102" s="23" t="s">
        <v>103</v>
      </c>
      <c r="K102" s="24" t="s">
        <v>74</v>
      </c>
      <c r="L102" s="24" t="s">
        <v>21</v>
      </c>
      <c r="M102" s="23" t="s">
        <v>22</v>
      </c>
      <c r="N102" s="23" t="s">
        <v>77</v>
      </c>
      <c r="O102" s="23" t="s">
        <v>491</v>
      </c>
    </row>
    <row r="103" spans="1:15" ht="136.5" customHeight="1" x14ac:dyDescent="0.25">
      <c r="A103" s="30">
        <v>1198548</v>
      </c>
      <c r="B103" s="118" t="s">
        <v>425</v>
      </c>
      <c r="C103" s="23" t="s">
        <v>830</v>
      </c>
      <c r="D103" s="24" t="s">
        <v>831</v>
      </c>
      <c r="E103" s="25" t="s">
        <v>827</v>
      </c>
      <c r="F103" s="24" t="s">
        <v>832</v>
      </c>
      <c r="G103" s="24" t="s">
        <v>833</v>
      </c>
      <c r="H103" s="23" t="s">
        <v>17</v>
      </c>
      <c r="I103" s="23" t="s">
        <v>73</v>
      </c>
      <c r="J103" s="23" t="s">
        <v>103</v>
      </c>
      <c r="K103" s="24" t="s">
        <v>74</v>
      </c>
      <c r="L103" s="24" t="s">
        <v>834</v>
      </c>
      <c r="M103" s="23" t="s">
        <v>22</v>
      </c>
      <c r="N103" s="23" t="s">
        <v>77</v>
      </c>
      <c r="O103" s="32" t="s">
        <v>491</v>
      </c>
    </row>
    <row r="104" spans="1:15" ht="82.5" customHeight="1" x14ac:dyDescent="0.25">
      <c r="A104" s="30">
        <v>1198549</v>
      </c>
      <c r="B104" s="118" t="s">
        <v>425</v>
      </c>
      <c r="C104" s="23" t="s">
        <v>835</v>
      </c>
      <c r="D104" s="24" t="s">
        <v>836</v>
      </c>
      <c r="E104" s="25" t="s">
        <v>837</v>
      </c>
      <c r="F104" s="24" t="s">
        <v>838</v>
      </c>
      <c r="G104" s="24" t="s">
        <v>839</v>
      </c>
      <c r="H104" s="23" t="s">
        <v>17</v>
      </c>
      <c r="I104" s="23" t="s">
        <v>73</v>
      </c>
      <c r="J104" s="23" t="s">
        <v>103</v>
      </c>
      <c r="K104" s="24" t="s">
        <v>74</v>
      </c>
      <c r="L104" s="24" t="s">
        <v>834</v>
      </c>
      <c r="M104" s="23" t="s">
        <v>22</v>
      </c>
      <c r="N104" s="23" t="s">
        <v>77</v>
      </c>
      <c r="O104" s="32" t="s">
        <v>491</v>
      </c>
    </row>
    <row r="105" spans="1:15" ht="164.25" customHeight="1" x14ac:dyDescent="0.25">
      <c r="A105" s="30">
        <v>1198550</v>
      </c>
      <c r="B105" s="118" t="s">
        <v>425</v>
      </c>
      <c r="C105" s="23" t="s">
        <v>840</v>
      </c>
      <c r="D105" s="24" t="s">
        <v>841</v>
      </c>
      <c r="E105" s="25" t="s">
        <v>842</v>
      </c>
      <c r="F105" s="24" t="s">
        <v>843</v>
      </c>
      <c r="G105" s="24" t="s">
        <v>839</v>
      </c>
      <c r="H105" s="23" t="s">
        <v>17</v>
      </c>
      <c r="I105" s="23" t="s">
        <v>73</v>
      </c>
      <c r="J105" s="10" t="s">
        <v>506</v>
      </c>
      <c r="K105" s="24" t="s">
        <v>74</v>
      </c>
      <c r="L105" s="24" t="s">
        <v>834</v>
      </c>
      <c r="M105" s="23" t="s">
        <v>22</v>
      </c>
      <c r="N105" s="23" t="s">
        <v>77</v>
      </c>
      <c r="O105" s="32" t="s">
        <v>491</v>
      </c>
    </row>
    <row r="106" spans="1:15" ht="164.25" customHeight="1" x14ac:dyDescent="0.25">
      <c r="A106" s="30">
        <v>1198551</v>
      </c>
      <c r="B106" s="118" t="s">
        <v>425</v>
      </c>
      <c r="C106" s="23" t="s">
        <v>844</v>
      </c>
      <c r="D106" s="24" t="s">
        <v>845</v>
      </c>
      <c r="E106" s="25" t="s">
        <v>842</v>
      </c>
      <c r="F106" s="24" t="s">
        <v>846</v>
      </c>
      <c r="G106" s="24" t="s">
        <v>839</v>
      </c>
      <c r="H106" s="23" t="s">
        <v>17</v>
      </c>
      <c r="I106" s="23" t="s">
        <v>73</v>
      </c>
      <c r="J106" s="10" t="s">
        <v>506</v>
      </c>
      <c r="K106" s="24" t="s">
        <v>74</v>
      </c>
      <c r="L106" s="24" t="s">
        <v>834</v>
      </c>
      <c r="M106" s="23" t="s">
        <v>22</v>
      </c>
      <c r="N106" s="23" t="s">
        <v>77</v>
      </c>
      <c r="O106" s="32" t="s">
        <v>491</v>
      </c>
    </row>
    <row r="107" spans="1:15" ht="164.25" customHeight="1" x14ac:dyDescent="0.25">
      <c r="B107" s="118" t="s">
        <v>425</v>
      </c>
      <c r="C107" s="23" t="s">
        <v>844</v>
      </c>
      <c r="D107" s="24" t="s">
        <v>847</v>
      </c>
      <c r="E107" s="25" t="s">
        <v>842</v>
      </c>
      <c r="F107" s="24" t="s">
        <v>846</v>
      </c>
      <c r="G107" s="24" t="s">
        <v>839</v>
      </c>
      <c r="H107" s="23" t="s">
        <v>17</v>
      </c>
      <c r="I107" s="23" t="s">
        <v>73</v>
      </c>
      <c r="J107" s="10" t="s">
        <v>506</v>
      </c>
      <c r="K107" s="24" t="s">
        <v>74</v>
      </c>
      <c r="L107" s="24" t="s">
        <v>834</v>
      </c>
      <c r="M107" s="23" t="s">
        <v>22</v>
      </c>
      <c r="N107" s="23" t="s">
        <v>77</v>
      </c>
      <c r="O107" s="32" t="s">
        <v>491</v>
      </c>
    </row>
    <row r="108" spans="1:15" ht="164.25" customHeight="1" x14ac:dyDescent="0.25">
      <c r="A108" s="30">
        <v>1198553</v>
      </c>
      <c r="B108" s="118" t="s">
        <v>425</v>
      </c>
      <c r="C108" s="23" t="s">
        <v>848</v>
      </c>
      <c r="D108" s="24" t="s">
        <v>849</v>
      </c>
      <c r="E108" s="25" t="s">
        <v>842</v>
      </c>
      <c r="F108" s="24" t="s">
        <v>850</v>
      </c>
      <c r="G108" s="24" t="s">
        <v>839</v>
      </c>
      <c r="H108" s="23" t="s">
        <v>17</v>
      </c>
      <c r="I108" s="23" t="s">
        <v>73</v>
      </c>
      <c r="J108" s="10" t="s">
        <v>506</v>
      </c>
      <c r="K108" s="24" t="s">
        <v>74</v>
      </c>
      <c r="L108" s="24" t="s">
        <v>834</v>
      </c>
      <c r="M108" s="23" t="s">
        <v>22</v>
      </c>
      <c r="N108" s="23" t="s">
        <v>77</v>
      </c>
      <c r="O108" s="32" t="s">
        <v>491</v>
      </c>
    </row>
    <row r="109" spans="1:15" ht="164.25" customHeight="1" x14ac:dyDescent="0.25">
      <c r="A109" s="30">
        <v>1198554</v>
      </c>
      <c r="B109" s="118" t="s">
        <v>425</v>
      </c>
      <c r="C109" s="23" t="s">
        <v>851</v>
      </c>
      <c r="D109" s="24" t="s">
        <v>852</v>
      </c>
      <c r="E109" s="25" t="s">
        <v>842</v>
      </c>
      <c r="F109" s="24" t="s">
        <v>853</v>
      </c>
      <c r="G109" s="24" t="s">
        <v>839</v>
      </c>
      <c r="H109" s="23" t="s">
        <v>17</v>
      </c>
      <c r="I109" s="23" t="s">
        <v>73</v>
      </c>
      <c r="J109" s="10" t="s">
        <v>506</v>
      </c>
      <c r="K109" s="24" t="s">
        <v>74</v>
      </c>
      <c r="L109" s="24" t="s">
        <v>834</v>
      </c>
      <c r="M109" s="23" t="s">
        <v>22</v>
      </c>
      <c r="N109" s="23" t="s">
        <v>77</v>
      </c>
      <c r="O109" s="32" t="s">
        <v>491</v>
      </c>
    </row>
    <row r="110" spans="1:15" ht="164.25" customHeight="1" x14ac:dyDescent="0.25">
      <c r="A110" s="30">
        <v>1198555</v>
      </c>
      <c r="B110" s="118" t="s">
        <v>425</v>
      </c>
      <c r="C110" s="23" t="s">
        <v>854</v>
      </c>
      <c r="D110" s="24" t="s">
        <v>855</v>
      </c>
      <c r="E110" s="25" t="s">
        <v>842</v>
      </c>
      <c r="F110" s="24" t="s">
        <v>856</v>
      </c>
      <c r="G110" s="24" t="s">
        <v>839</v>
      </c>
      <c r="H110" s="23" t="s">
        <v>17</v>
      </c>
      <c r="I110" s="23" t="s">
        <v>73</v>
      </c>
      <c r="J110" s="10" t="s">
        <v>506</v>
      </c>
      <c r="K110" s="24" t="s">
        <v>74</v>
      </c>
      <c r="L110" s="24" t="s">
        <v>834</v>
      </c>
      <c r="M110" s="23" t="s">
        <v>22</v>
      </c>
      <c r="N110" s="23" t="s">
        <v>77</v>
      </c>
      <c r="O110" s="32" t="s">
        <v>491</v>
      </c>
    </row>
    <row r="111" spans="1:15" ht="164.25" customHeight="1" x14ac:dyDescent="0.25">
      <c r="A111" s="30">
        <v>1198556</v>
      </c>
      <c r="B111" s="118" t="s">
        <v>425</v>
      </c>
      <c r="C111" s="23" t="s">
        <v>857</v>
      </c>
      <c r="D111" s="24" t="s">
        <v>858</v>
      </c>
      <c r="E111" s="25" t="s">
        <v>842</v>
      </c>
      <c r="F111" s="24" t="s">
        <v>859</v>
      </c>
      <c r="G111" s="24" t="s">
        <v>839</v>
      </c>
      <c r="H111" s="23" t="s">
        <v>17</v>
      </c>
      <c r="I111" s="23" t="s">
        <v>73</v>
      </c>
      <c r="J111" s="10" t="s">
        <v>506</v>
      </c>
      <c r="K111" s="24" t="s">
        <v>74</v>
      </c>
      <c r="L111" s="24" t="s">
        <v>834</v>
      </c>
      <c r="M111" s="23" t="s">
        <v>22</v>
      </c>
      <c r="N111" s="23" t="s">
        <v>77</v>
      </c>
      <c r="O111" s="32" t="s">
        <v>491</v>
      </c>
    </row>
    <row r="112" spans="1:15" ht="164.25" customHeight="1" x14ac:dyDescent="0.25">
      <c r="A112" s="30">
        <v>1198558</v>
      </c>
      <c r="B112" s="118" t="s">
        <v>425</v>
      </c>
      <c r="C112" s="23" t="s">
        <v>860</v>
      </c>
      <c r="D112" s="24" t="s">
        <v>861</v>
      </c>
      <c r="E112" s="25" t="s">
        <v>842</v>
      </c>
      <c r="F112" s="24" t="s">
        <v>862</v>
      </c>
      <c r="G112" s="24" t="s">
        <v>839</v>
      </c>
      <c r="H112" s="23" t="s">
        <v>17</v>
      </c>
      <c r="I112" s="23" t="s">
        <v>73</v>
      </c>
      <c r="J112" s="10" t="s">
        <v>506</v>
      </c>
      <c r="K112" s="24" t="s">
        <v>74</v>
      </c>
      <c r="L112" s="24" t="s">
        <v>834</v>
      </c>
      <c r="M112" s="23" t="s">
        <v>22</v>
      </c>
      <c r="N112" s="23" t="s">
        <v>77</v>
      </c>
      <c r="O112" s="32" t="s">
        <v>491</v>
      </c>
    </row>
    <row r="113" spans="1:15" ht="164.25" customHeight="1" x14ac:dyDescent="0.25">
      <c r="A113" s="30">
        <v>1198560</v>
      </c>
      <c r="B113" s="118" t="s">
        <v>425</v>
      </c>
      <c r="C113" s="23" t="s">
        <v>860</v>
      </c>
      <c r="D113" s="24" t="s">
        <v>863</v>
      </c>
      <c r="E113" s="25" t="s">
        <v>842</v>
      </c>
      <c r="F113" s="24" t="s">
        <v>864</v>
      </c>
      <c r="G113" s="24" t="s">
        <v>839</v>
      </c>
      <c r="H113" s="23" t="s">
        <v>17</v>
      </c>
      <c r="I113" s="23" t="s">
        <v>73</v>
      </c>
      <c r="J113" s="10" t="s">
        <v>506</v>
      </c>
      <c r="K113" s="24" t="s">
        <v>74</v>
      </c>
      <c r="L113" s="24" t="s">
        <v>834</v>
      </c>
      <c r="M113" s="23" t="s">
        <v>22</v>
      </c>
      <c r="N113" s="23" t="s">
        <v>77</v>
      </c>
      <c r="O113" s="32" t="s">
        <v>491</v>
      </c>
    </row>
    <row r="114" spans="1:15" ht="164.25" customHeight="1" x14ac:dyDescent="0.25">
      <c r="A114" s="30">
        <v>1198561</v>
      </c>
      <c r="B114" s="118" t="s">
        <v>425</v>
      </c>
      <c r="C114" s="23" t="s">
        <v>865</v>
      </c>
      <c r="D114" s="24" t="s">
        <v>866</v>
      </c>
      <c r="E114" s="25" t="s">
        <v>842</v>
      </c>
      <c r="F114" s="24" t="s">
        <v>867</v>
      </c>
      <c r="G114" s="24" t="s">
        <v>839</v>
      </c>
      <c r="H114" s="23" t="s">
        <v>17</v>
      </c>
      <c r="I114" s="23" t="s">
        <v>73</v>
      </c>
      <c r="J114" s="10" t="s">
        <v>506</v>
      </c>
      <c r="K114" s="24" t="s">
        <v>74</v>
      </c>
      <c r="L114" s="24" t="s">
        <v>834</v>
      </c>
      <c r="M114" s="23" t="s">
        <v>22</v>
      </c>
      <c r="N114" s="23" t="s">
        <v>77</v>
      </c>
      <c r="O114" s="32" t="s">
        <v>491</v>
      </c>
    </row>
    <row r="115" spans="1:15" ht="164.25" customHeight="1" x14ac:dyDescent="0.25">
      <c r="A115" s="30">
        <v>1198562</v>
      </c>
      <c r="B115" s="118" t="s">
        <v>425</v>
      </c>
      <c r="C115" s="23" t="s">
        <v>868</v>
      </c>
      <c r="D115" s="24" t="s">
        <v>869</v>
      </c>
      <c r="E115" s="25" t="s">
        <v>842</v>
      </c>
      <c r="F115" s="24" t="s">
        <v>870</v>
      </c>
      <c r="G115" s="24" t="s">
        <v>839</v>
      </c>
      <c r="H115" s="23" t="s">
        <v>17</v>
      </c>
      <c r="I115" s="23" t="s">
        <v>73</v>
      </c>
      <c r="J115" s="10" t="s">
        <v>506</v>
      </c>
      <c r="K115" s="24" t="s">
        <v>74</v>
      </c>
      <c r="L115" s="24" t="s">
        <v>834</v>
      </c>
      <c r="M115" s="23" t="s">
        <v>22</v>
      </c>
      <c r="N115" s="23" t="s">
        <v>77</v>
      </c>
      <c r="O115" s="32" t="s">
        <v>491</v>
      </c>
    </row>
    <row r="116" spans="1:15" ht="164.25" customHeight="1" x14ac:dyDescent="0.25">
      <c r="A116" s="30">
        <v>1198563</v>
      </c>
      <c r="B116" s="118" t="s">
        <v>425</v>
      </c>
      <c r="C116" s="23" t="s">
        <v>871</v>
      </c>
      <c r="D116" s="24" t="s">
        <v>872</v>
      </c>
      <c r="E116" s="25" t="s">
        <v>842</v>
      </c>
      <c r="F116" s="24" t="s">
        <v>873</v>
      </c>
      <c r="G116" s="24" t="s">
        <v>839</v>
      </c>
      <c r="H116" s="23" t="s">
        <v>17</v>
      </c>
      <c r="I116" s="23" t="s">
        <v>73</v>
      </c>
      <c r="J116" s="10" t="s">
        <v>506</v>
      </c>
      <c r="K116" s="24" t="s">
        <v>74</v>
      </c>
      <c r="L116" s="24" t="s">
        <v>834</v>
      </c>
      <c r="M116" s="23" t="s">
        <v>22</v>
      </c>
      <c r="N116" s="23" t="s">
        <v>77</v>
      </c>
      <c r="O116" s="32" t="s">
        <v>491</v>
      </c>
    </row>
    <row r="117" spans="1:15" ht="164.25" customHeight="1" x14ac:dyDescent="0.25">
      <c r="A117" s="30">
        <v>1198564</v>
      </c>
      <c r="B117" s="118" t="s">
        <v>425</v>
      </c>
      <c r="C117" s="23" t="s">
        <v>874</v>
      </c>
      <c r="D117" s="24" t="s">
        <v>875</v>
      </c>
      <c r="E117" s="25" t="s">
        <v>842</v>
      </c>
      <c r="F117" s="24" t="s">
        <v>876</v>
      </c>
      <c r="G117" s="24" t="s">
        <v>839</v>
      </c>
      <c r="H117" s="23" t="s">
        <v>17</v>
      </c>
      <c r="I117" s="23" t="s">
        <v>73</v>
      </c>
      <c r="J117" s="10" t="s">
        <v>506</v>
      </c>
      <c r="K117" s="24" t="s">
        <v>74</v>
      </c>
      <c r="L117" s="24" t="s">
        <v>834</v>
      </c>
      <c r="M117" s="23" t="s">
        <v>22</v>
      </c>
      <c r="N117" s="23" t="s">
        <v>77</v>
      </c>
      <c r="O117" s="32" t="s">
        <v>491</v>
      </c>
    </row>
    <row r="118" spans="1:15" ht="164.25" customHeight="1" x14ac:dyDescent="0.25">
      <c r="A118" s="30">
        <v>1198565</v>
      </c>
      <c r="B118" s="118" t="s">
        <v>425</v>
      </c>
      <c r="C118" s="23" t="s">
        <v>877</v>
      </c>
      <c r="D118" s="24" t="s">
        <v>878</v>
      </c>
      <c r="E118" s="25" t="s">
        <v>842</v>
      </c>
      <c r="F118" s="24" t="s">
        <v>879</v>
      </c>
      <c r="G118" s="24" t="s">
        <v>839</v>
      </c>
      <c r="H118" s="23" t="s">
        <v>17</v>
      </c>
      <c r="I118" s="23" t="s">
        <v>73</v>
      </c>
      <c r="J118" s="10" t="s">
        <v>506</v>
      </c>
      <c r="K118" s="24" t="s">
        <v>74</v>
      </c>
      <c r="L118" s="24" t="s">
        <v>834</v>
      </c>
      <c r="M118" s="23" t="s">
        <v>22</v>
      </c>
      <c r="N118" s="23" t="s">
        <v>77</v>
      </c>
      <c r="O118" s="32" t="s">
        <v>491</v>
      </c>
    </row>
    <row r="119" spans="1:15" ht="164.25" customHeight="1" x14ac:dyDescent="0.25">
      <c r="A119" s="30">
        <v>1198566</v>
      </c>
      <c r="B119" s="118" t="s">
        <v>425</v>
      </c>
      <c r="C119" s="23" t="s">
        <v>880</v>
      </c>
      <c r="D119" s="24" t="s">
        <v>881</v>
      </c>
      <c r="E119" s="25" t="s">
        <v>842</v>
      </c>
      <c r="F119" s="24" t="s">
        <v>882</v>
      </c>
      <c r="G119" s="24" t="s">
        <v>839</v>
      </c>
      <c r="H119" s="23" t="s">
        <v>17</v>
      </c>
      <c r="I119" s="23" t="s">
        <v>73</v>
      </c>
      <c r="J119" s="10" t="s">
        <v>506</v>
      </c>
      <c r="K119" s="24" t="s">
        <v>74</v>
      </c>
      <c r="L119" s="24" t="s">
        <v>834</v>
      </c>
      <c r="M119" s="23" t="s">
        <v>22</v>
      </c>
      <c r="N119" s="23" t="s">
        <v>77</v>
      </c>
      <c r="O119" s="32" t="s">
        <v>491</v>
      </c>
    </row>
    <row r="120" spans="1:15" ht="164.25" customHeight="1" x14ac:dyDescent="0.25">
      <c r="A120" s="30">
        <v>1198567</v>
      </c>
      <c r="B120" s="118" t="s">
        <v>425</v>
      </c>
      <c r="C120" s="23" t="s">
        <v>883</v>
      </c>
      <c r="D120" s="24" t="s">
        <v>884</v>
      </c>
      <c r="E120" s="25" t="s">
        <v>842</v>
      </c>
      <c r="F120" s="24" t="s">
        <v>885</v>
      </c>
      <c r="G120" s="24" t="s">
        <v>839</v>
      </c>
      <c r="H120" s="23" t="s">
        <v>17</v>
      </c>
      <c r="I120" s="23" t="s">
        <v>73</v>
      </c>
      <c r="J120" s="10" t="s">
        <v>506</v>
      </c>
      <c r="K120" s="24" t="s">
        <v>74</v>
      </c>
      <c r="L120" s="24" t="s">
        <v>834</v>
      </c>
      <c r="M120" s="23" t="s">
        <v>22</v>
      </c>
      <c r="N120" s="23" t="s">
        <v>77</v>
      </c>
      <c r="O120" s="32" t="s">
        <v>491</v>
      </c>
    </row>
    <row r="121" spans="1:15" ht="164.25" customHeight="1" x14ac:dyDescent="0.25">
      <c r="A121" s="30">
        <v>1198569</v>
      </c>
      <c r="B121" s="118" t="s">
        <v>425</v>
      </c>
      <c r="C121" s="23" t="s">
        <v>886</v>
      </c>
      <c r="D121" s="24" t="s">
        <v>887</v>
      </c>
      <c r="E121" s="25" t="s">
        <v>842</v>
      </c>
      <c r="F121" s="24" t="s">
        <v>888</v>
      </c>
      <c r="G121" s="24" t="s">
        <v>839</v>
      </c>
      <c r="H121" s="23" t="s">
        <v>17</v>
      </c>
      <c r="I121" s="23" t="s">
        <v>73</v>
      </c>
      <c r="J121" s="10" t="s">
        <v>506</v>
      </c>
      <c r="K121" s="24" t="s">
        <v>74</v>
      </c>
      <c r="L121" s="24" t="s">
        <v>834</v>
      </c>
      <c r="M121" s="23" t="s">
        <v>22</v>
      </c>
      <c r="N121" s="23" t="s">
        <v>77</v>
      </c>
      <c r="O121" s="32" t="s">
        <v>491</v>
      </c>
    </row>
    <row r="122" spans="1:15" ht="164.25" customHeight="1" x14ac:dyDescent="0.25">
      <c r="A122" s="30">
        <v>1198571</v>
      </c>
      <c r="B122" s="118" t="s">
        <v>425</v>
      </c>
      <c r="C122" s="23" t="s">
        <v>886</v>
      </c>
      <c r="D122" s="24" t="s">
        <v>889</v>
      </c>
      <c r="E122" s="25" t="s">
        <v>842</v>
      </c>
      <c r="F122" s="24" t="s">
        <v>890</v>
      </c>
      <c r="G122" s="24" t="s">
        <v>839</v>
      </c>
      <c r="H122" s="23" t="s">
        <v>17</v>
      </c>
      <c r="I122" s="23" t="s">
        <v>73</v>
      </c>
      <c r="J122" s="10" t="s">
        <v>506</v>
      </c>
      <c r="K122" s="24" t="s">
        <v>74</v>
      </c>
      <c r="L122" s="24" t="s">
        <v>834</v>
      </c>
      <c r="M122" s="23" t="s">
        <v>22</v>
      </c>
      <c r="N122" s="23" t="s">
        <v>77</v>
      </c>
      <c r="O122" s="32" t="s">
        <v>491</v>
      </c>
    </row>
    <row r="123" spans="1:15" ht="164.25" customHeight="1" x14ac:dyDescent="0.25">
      <c r="A123" s="30">
        <v>1198572</v>
      </c>
      <c r="B123" s="118" t="s">
        <v>425</v>
      </c>
      <c r="C123" s="23" t="s">
        <v>891</v>
      </c>
      <c r="D123" s="24" t="s">
        <v>892</v>
      </c>
      <c r="E123" s="25" t="s">
        <v>842</v>
      </c>
      <c r="F123" s="24" t="s">
        <v>893</v>
      </c>
      <c r="G123" s="24" t="s">
        <v>839</v>
      </c>
      <c r="H123" s="23" t="s">
        <v>17</v>
      </c>
      <c r="I123" s="23" t="s">
        <v>73</v>
      </c>
      <c r="J123" s="10" t="s">
        <v>506</v>
      </c>
      <c r="K123" s="24" t="s">
        <v>74</v>
      </c>
      <c r="L123" s="24" t="s">
        <v>834</v>
      </c>
      <c r="M123" s="23" t="s">
        <v>22</v>
      </c>
      <c r="N123" s="23" t="s">
        <v>77</v>
      </c>
      <c r="O123" s="32" t="s">
        <v>491</v>
      </c>
    </row>
    <row r="124" spans="1:15" ht="164.25" customHeight="1" x14ac:dyDescent="0.25">
      <c r="A124" s="30">
        <v>1198573</v>
      </c>
      <c r="B124" s="118" t="s">
        <v>425</v>
      </c>
      <c r="C124" s="23" t="s">
        <v>894</v>
      </c>
      <c r="D124" s="24" t="s">
        <v>895</v>
      </c>
      <c r="E124" s="25" t="s">
        <v>842</v>
      </c>
      <c r="F124" s="24" t="s">
        <v>896</v>
      </c>
      <c r="G124" s="24" t="s">
        <v>839</v>
      </c>
      <c r="H124" s="23" t="s">
        <v>17</v>
      </c>
      <c r="I124" s="23" t="s">
        <v>73</v>
      </c>
      <c r="J124" s="10" t="s">
        <v>506</v>
      </c>
      <c r="K124" s="24" t="s">
        <v>74</v>
      </c>
      <c r="L124" s="24" t="s">
        <v>834</v>
      </c>
      <c r="M124" s="23" t="s">
        <v>22</v>
      </c>
      <c r="N124" s="23" t="s">
        <v>77</v>
      </c>
      <c r="O124" s="32" t="s">
        <v>491</v>
      </c>
    </row>
    <row r="125" spans="1:15" ht="164.25" customHeight="1" x14ac:dyDescent="0.25">
      <c r="A125" s="30">
        <v>1198574</v>
      </c>
      <c r="B125" s="118" t="s">
        <v>425</v>
      </c>
      <c r="C125" s="23" t="s">
        <v>897</v>
      </c>
      <c r="D125" s="24" t="s">
        <v>898</v>
      </c>
      <c r="E125" s="25" t="s">
        <v>842</v>
      </c>
      <c r="F125" s="24" t="s">
        <v>899</v>
      </c>
      <c r="G125" s="24" t="s">
        <v>839</v>
      </c>
      <c r="H125" s="23" t="s">
        <v>17</v>
      </c>
      <c r="I125" s="23" t="s">
        <v>73</v>
      </c>
      <c r="J125" s="10" t="s">
        <v>506</v>
      </c>
      <c r="K125" s="24" t="s">
        <v>74</v>
      </c>
      <c r="L125" s="24" t="s">
        <v>834</v>
      </c>
      <c r="M125" s="23" t="s">
        <v>22</v>
      </c>
      <c r="N125" s="23" t="s">
        <v>77</v>
      </c>
      <c r="O125" s="32" t="s">
        <v>491</v>
      </c>
    </row>
    <row r="126" spans="1:15" ht="164.25" customHeight="1" x14ac:dyDescent="0.25">
      <c r="A126" s="30">
        <v>1198576</v>
      </c>
      <c r="B126" s="118" t="s">
        <v>425</v>
      </c>
      <c r="C126" s="23" t="s">
        <v>900</v>
      </c>
      <c r="D126" s="24" t="s">
        <v>901</v>
      </c>
      <c r="E126" s="25" t="s">
        <v>842</v>
      </c>
      <c r="F126" s="24" t="s">
        <v>902</v>
      </c>
      <c r="G126" s="24" t="s">
        <v>839</v>
      </c>
      <c r="H126" s="23" t="s">
        <v>17</v>
      </c>
      <c r="I126" s="23" t="s">
        <v>73</v>
      </c>
      <c r="J126" s="10" t="s">
        <v>506</v>
      </c>
      <c r="K126" s="24" t="s">
        <v>74</v>
      </c>
      <c r="L126" s="24" t="s">
        <v>834</v>
      </c>
      <c r="M126" s="23" t="s">
        <v>22</v>
      </c>
      <c r="N126" s="23" t="s">
        <v>77</v>
      </c>
      <c r="O126" s="32" t="s">
        <v>491</v>
      </c>
    </row>
    <row r="127" spans="1:15" ht="164.25" customHeight="1" x14ac:dyDescent="0.25">
      <c r="A127" s="30">
        <v>1198577</v>
      </c>
      <c r="B127" s="118" t="s">
        <v>425</v>
      </c>
      <c r="C127" s="23" t="s">
        <v>903</v>
      </c>
      <c r="D127" s="24" t="s">
        <v>904</v>
      </c>
      <c r="E127" s="25" t="s">
        <v>842</v>
      </c>
      <c r="F127" s="24" t="s">
        <v>905</v>
      </c>
      <c r="G127" s="24" t="s">
        <v>839</v>
      </c>
      <c r="H127" s="23" t="s">
        <v>17</v>
      </c>
      <c r="I127" s="23" t="s">
        <v>73</v>
      </c>
      <c r="J127" s="10" t="s">
        <v>506</v>
      </c>
      <c r="K127" s="24" t="s">
        <v>74</v>
      </c>
      <c r="L127" s="24" t="s">
        <v>834</v>
      </c>
      <c r="M127" s="23" t="s">
        <v>22</v>
      </c>
      <c r="N127" s="23" t="s">
        <v>77</v>
      </c>
      <c r="O127" s="32" t="s">
        <v>491</v>
      </c>
    </row>
    <row r="128" spans="1:15" ht="164.25" customHeight="1" x14ac:dyDescent="0.25">
      <c r="A128" s="30">
        <v>1198578</v>
      </c>
      <c r="B128" s="118" t="s">
        <v>425</v>
      </c>
      <c r="C128" s="23" t="s">
        <v>906</v>
      </c>
      <c r="D128" s="24" t="s">
        <v>907</v>
      </c>
      <c r="E128" s="25" t="s">
        <v>842</v>
      </c>
      <c r="F128" s="24" t="s">
        <v>908</v>
      </c>
      <c r="G128" s="24" t="s">
        <v>839</v>
      </c>
      <c r="H128" s="23" t="s">
        <v>17</v>
      </c>
      <c r="I128" s="23" t="s">
        <v>73</v>
      </c>
      <c r="J128" s="10" t="s">
        <v>506</v>
      </c>
      <c r="K128" s="24" t="s">
        <v>74</v>
      </c>
      <c r="L128" s="24" t="s">
        <v>834</v>
      </c>
      <c r="M128" s="23" t="s">
        <v>22</v>
      </c>
      <c r="N128" s="23" t="s">
        <v>77</v>
      </c>
      <c r="O128" s="32" t="s">
        <v>491</v>
      </c>
    </row>
    <row r="129" spans="1:15" ht="164.25" customHeight="1" x14ac:dyDescent="0.25">
      <c r="A129" s="30">
        <v>1198579</v>
      </c>
      <c r="B129" s="118" t="s">
        <v>425</v>
      </c>
      <c r="C129" s="23" t="s">
        <v>909</v>
      </c>
      <c r="D129" s="24" t="s">
        <v>910</v>
      </c>
      <c r="E129" s="25" t="s">
        <v>842</v>
      </c>
      <c r="F129" s="24" t="s">
        <v>911</v>
      </c>
      <c r="G129" s="24" t="s">
        <v>839</v>
      </c>
      <c r="H129" s="23" t="s">
        <v>17</v>
      </c>
      <c r="I129" s="23" t="s">
        <v>73</v>
      </c>
      <c r="J129" s="10" t="s">
        <v>506</v>
      </c>
      <c r="K129" s="24" t="s">
        <v>74</v>
      </c>
      <c r="L129" s="24" t="s">
        <v>834</v>
      </c>
      <c r="M129" s="23" t="s">
        <v>22</v>
      </c>
      <c r="N129" s="23" t="s">
        <v>77</v>
      </c>
      <c r="O129" s="32" t="s">
        <v>491</v>
      </c>
    </row>
    <row r="130" spans="1:15" ht="164.25" customHeight="1" x14ac:dyDescent="0.25">
      <c r="A130" s="30">
        <v>1198580</v>
      </c>
      <c r="B130" s="118" t="s">
        <v>425</v>
      </c>
      <c r="C130" s="23" t="s">
        <v>912</v>
      </c>
      <c r="D130" s="24" t="s">
        <v>913</v>
      </c>
      <c r="E130" s="25" t="s">
        <v>842</v>
      </c>
      <c r="F130" s="24" t="s">
        <v>914</v>
      </c>
      <c r="G130" s="24" t="s">
        <v>839</v>
      </c>
      <c r="H130" s="23" t="s">
        <v>17</v>
      </c>
      <c r="I130" s="23" t="s">
        <v>73</v>
      </c>
      <c r="J130" s="10" t="s">
        <v>506</v>
      </c>
      <c r="K130" s="24" t="s">
        <v>74</v>
      </c>
      <c r="L130" s="24" t="s">
        <v>834</v>
      </c>
      <c r="M130" s="23" t="s">
        <v>22</v>
      </c>
      <c r="N130" s="23" t="s">
        <v>77</v>
      </c>
      <c r="O130" s="32" t="s">
        <v>491</v>
      </c>
    </row>
    <row r="131" spans="1:15" ht="164.25" customHeight="1" x14ac:dyDescent="0.25">
      <c r="A131" s="30">
        <v>1198581</v>
      </c>
      <c r="B131" s="118" t="s">
        <v>425</v>
      </c>
      <c r="C131" s="23" t="s">
        <v>915</v>
      </c>
      <c r="D131" s="24" t="s">
        <v>916</v>
      </c>
      <c r="E131" s="25" t="s">
        <v>842</v>
      </c>
      <c r="F131" s="24" t="s">
        <v>917</v>
      </c>
      <c r="G131" s="24" t="s">
        <v>839</v>
      </c>
      <c r="H131" s="23" t="s">
        <v>17</v>
      </c>
      <c r="I131" s="23" t="s">
        <v>73</v>
      </c>
      <c r="J131" s="10" t="s">
        <v>506</v>
      </c>
      <c r="K131" s="24" t="s">
        <v>74</v>
      </c>
      <c r="L131" s="24" t="s">
        <v>834</v>
      </c>
      <c r="M131" s="23" t="s">
        <v>22</v>
      </c>
      <c r="N131" s="23" t="s">
        <v>77</v>
      </c>
      <c r="O131" s="32" t="s">
        <v>491</v>
      </c>
    </row>
    <row r="132" spans="1:15" ht="164.25" customHeight="1" x14ac:dyDescent="0.25">
      <c r="A132" s="30">
        <v>1198582</v>
      </c>
      <c r="B132" s="118" t="s">
        <v>425</v>
      </c>
      <c r="C132" s="23" t="s">
        <v>918</v>
      </c>
      <c r="D132" s="24" t="s">
        <v>919</v>
      </c>
      <c r="E132" s="25" t="s">
        <v>842</v>
      </c>
      <c r="F132" s="24" t="s">
        <v>920</v>
      </c>
      <c r="G132" s="24" t="s">
        <v>839</v>
      </c>
      <c r="H132" s="23" t="s">
        <v>17</v>
      </c>
      <c r="I132" s="23" t="s">
        <v>73</v>
      </c>
      <c r="J132" s="10" t="s">
        <v>506</v>
      </c>
      <c r="K132" s="24" t="s">
        <v>74</v>
      </c>
      <c r="L132" s="24" t="s">
        <v>834</v>
      </c>
      <c r="M132" s="23" t="s">
        <v>22</v>
      </c>
      <c r="N132" s="23" t="s">
        <v>77</v>
      </c>
      <c r="O132" s="32" t="s">
        <v>491</v>
      </c>
    </row>
    <row r="133" spans="1:15" ht="164.25" customHeight="1" x14ac:dyDescent="0.25">
      <c r="A133" s="30">
        <v>1198583</v>
      </c>
      <c r="B133" s="118" t="s">
        <v>425</v>
      </c>
      <c r="C133" s="23" t="s">
        <v>921</v>
      </c>
      <c r="D133" s="24" t="s">
        <v>922</v>
      </c>
      <c r="E133" s="25" t="s">
        <v>842</v>
      </c>
      <c r="F133" s="24" t="s">
        <v>923</v>
      </c>
      <c r="G133" s="24" t="s">
        <v>839</v>
      </c>
      <c r="H133" s="23" t="s">
        <v>17</v>
      </c>
      <c r="I133" s="23" t="s">
        <v>73</v>
      </c>
      <c r="J133" s="10" t="s">
        <v>506</v>
      </c>
      <c r="K133" s="24" t="s">
        <v>74</v>
      </c>
      <c r="L133" s="24" t="s">
        <v>834</v>
      </c>
      <c r="M133" s="23" t="s">
        <v>22</v>
      </c>
      <c r="N133" s="23" t="s">
        <v>77</v>
      </c>
      <c r="O133" s="32" t="s">
        <v>491</v>
      </c>
    </row>
    <row r="134" spans="1:15" ht="164.25" customHeight="1" x14ac:dyDescent="0.25">
      <c r="A134" s="30">
        <v>1198584</v>
      </c>
      <c r="B134" s="118" t="s">
        <v>425</v>
      </c>
      <c r="C134" s="23" t="s">
        <v>924</v>
      </c>
      <c r="D134" s="24" t="s">
        <v>925</v>
      </c>
      <c r="E134" s="25" t="s">
        <v>842</v>
      </c>
      <c r="F134" s="24" t="s">
        <v>926</v>
      </c>
      <c r="G134" s="24" t="s">
        <v>839</v>
      </c>
      <c r="H134" s="23" t="s">
        <v>17</v>
      </c>
      <c r="I134" s="23" t="s">
        <v>73</v>
      </c>
      <c r="J134" s="10" t="s">
        <v>506</v>
      </c>
      <c r="K134" s="24" t="s">
        <v>74</v>
      </c>
      <c r="L134" s="24" t="s">
        <v>834</v>
      </c>
      <c r="M134" s="23" t="s">
        <v>22</v>
      </c>
      <c r="N134" s="23" t="s">
        <v>77</v>
      </c>
      <c r="O134" s="32" t="s">
        <v>491</v>
      </c>
    </row>
    <row r="135" spans="1:15" ht="164.25" customHeight="1" x14ac:dyDescent="0.25">
      <c r="A135" s="30">
        <v>1198585</v>
      </c>
      <c r="B135" s="118" t="s">
        <v>425</v>
      </c>
      <c r="C135" s="23" t="s">
        <v>927</v>
      </c>
      <c r="D135" s="24" t="s">
        <v>928</v>
      </c>
      <c r="E135" s="25" t="s">
        <v>842</v>
      </c>
      <c r="F135" s="24" t="s">
        <v>926</v>
      </c>
      <c r="G135" s="24" t="s">
        <v>839</v>
      </c>
      <c r="H135" s="23" t="s">
        <v>17</v>
      </c>
      <c r="I135" s="23" t="s">
        <v>73</v>
      </c>
      <c r="J135" s="10" t="s">
        <v>506</v>
      </c>
      <c r="K135" s="24" t="s">
        <v>74</v>
      </c>
      <c r="L135" s="24" t="s">
        <v>834</v>
      </c>
      <c r="M135" s="23" t="s">
        <v>22</v>
      </c>
      <c r="N135" s="23" t="s">
        <v>77</v>
      </c>
      <c r="O135" s="32" t="s">
        <v>491</v>
      </c>
    </row>
    <row r="136" spans="1:15" ht="164.25" customHeight="1" x14ac:dyDescent="0.25">
      <c r="A136" s="30">
        <v>1198586</v>
      </c>
      <c r="B136" s="118" t="s">
        <v>425</v>
      </c>
      <c r="C136" s="23" t="s">
        <v>929</v>
      </c>
      <c r="D136" s="24" t="s">
        <v>930</v>
      </c>
      <c r="E136" s="25" t="s">
        <v>931</v>
      </c>
      <c r="F136" s="24" t="s">
        <v>932</v>
      </c>
      <c r="G136" s="24" t="s">
        <v>839</v>
      </c>
      <c r="H136" s="23" t="s">
        <v>17</v>
      </c>
      <c r="I136" s="23" t="s">
        <v>73</v>
      </c>
      <c r="J136" s="10" t="s">
        <v>506</v>
      </c>
      <c r="K136" s="24" t="s">
        <v>74</v>
      </c>
      <c r="L136" s="24" t="s">
        <v>834</v>
      </c>
      <c r="M136" s="23" t="s">
        <v>22</v>
      </c>
      <c r="N136" s="23" t="s">
        <v>77</v>
      </c>
      <c r="O136" s="32" t="s">
        <v>491</v>
      </c>
    </row>
    <row r="137" spans="1:15" ht="164.25" customHeight="1" x14ac:dyDescent="0.25">
      <c r="A137" s="30">
        <v>1198588</v>
      </c>
      <c r="B137" s="118" t="s">
        <v>425</v>
      </c>
      <c r="C137" s="23" t="s">
        <v>933</v>
      </c>
      <c r="D137" s="24" t="s">
        <v>934</v>
      </c>
      <c r="E137" s="25" t="s">
        <v>842</v>
      </c>
      <c r="F137" s="24" t="s">
        <v>935</v>
      </c>
      <c r="G137" s="24" t="s">
        <v>839</v>
      </c>
      <c r="H137" s="23" t="s">
        <v>17</v>
      </c>
      <c r="I137" s="23" t="s">
        <v>73</v>
      </c>
      <c r="J137" s="10" t="s">
        <v>506</v>
      </c>
      <c r="K137" s="24" t="s">
        <v>74</v>
      </c>
      <c r="L137" s="24" t="s">
        <v>834</v>
      </c>
      <c r="M137" s="23" t="s">
        <v>22</v>
      </c>
      <c r="N137" s="23" t="s">
        <v>77</v>
      </c>
      <c r="O137" s="32" t="s">
        <v>491</v>
      </c>
    </row>
    <row r="138" spans="1:15" ht="164.25" customHeight="1" x14ac:dyDescent="0.25">
      <c r="A138" s="30">
        <v>1198589</v>
      </c>
      <c r="B138" s="118" t="s">
        <v>425</v>
      </c>
      <c r="C138" s="23" t="s">
        <v>936</v>
      </c>
      <c r="D138" s="24" t="s">
        <v>937</v>
      </c>
      <c r="E138" s="25" t="s">
        <v>842</v>
      </c>
      <c r="F138" s="24" t="s">
        <v>938</v>
      </c>
      <c r="G138" s="24" t="s">
        <v>839</v>
      </c>
      <c r="H138" s="23" t="s">
        <v>17</v>
      </c>
      <c r="I138" s="23" t="s">
        <v>73</v>
      </c>
      <c r="J138" s="10" t="s">
        <v>506</v>
      </c>
      <c r="K138" s="24" t="s">
        <v>74</v>
      </c>
      <c r="L138" s="24" t="s">
        <v>834</v>
      </c>
      <c r="M138" s="23" t="s">
        <v>22</v>
      </c>
      <c r="N138" s="23" t="s">
        <v>77</v>
      </c>
      <c r="O138" s="32" t="s">
        <v>491</v>
      </c>
    </row>
    <row r="139" spans="1:15" ht="164.25" customHeight="1" x14ac:dyDescent="0.25">
      <c r="A139" s="30">
        <v>1198590</v>
      </c>
      <c r="B139" s="118" t="s">
        <v>425</v>
      </c>
      <c r="C139" s="23" t="s">
        <v>939</v>
      </c>
      <c r="D139" s="24" t="s">
        <v>940</v>
      </c>
      <c r="E139" s="25" t="s">
        <v>842</v>
      </c>
      <c r="F139" s="24" t="s">
        <v>941</v>
      </c>
      <c r="G139" s="24" t="s">
        <v>839</v>
      </c>
      <c r="H139" s="23" t="s">
        <v>17</v>
      </c>
      <c r="I139" s="23" t="s">
        <v>73</v>
      </c>
      <c r="J139" s="10" t="s">
        <v>506</v>
      </c>
      <c r="K139" s="24" t="s">
        <v>74</v>
      </c>
      <c r="L139" s="24" t="s">
        <v>834</v>
      </c>
      <c r="M139" s="23" t="s">
        <v>22</v>
      </c>
      <c r="N139" s="23" t="s">
        <v>77</v>
      </c>
      <c r="O139" s="32" t="s">
        <v>491</v>
      </c>
    </row>
    <row r="140" spans="1:15" ht="164.25" customHeight="1" x14ac:dyDescent="0.25">
      <c r="A140" s="30">
        <v>1198591</v>
      </c>
      <c r="B140" s="118" t="s">
        <v>425</v>
      </c>
      <c r="C140" s="23" t="s">
        <v>942</v>
      </c>
      <c r="D140" s="24" t="s">
        <v>943</v>
      </c>
      <c r="E140" s="25" t="s">
        <v>842</v>
      </c>
      <c r="F140" s="24" t="s">
        <v>944</v>
      </c>
      <c r="G140" s="24" t="s">
        <v>839</v>
      </c>
      <c r="H140" s="23" t="s">
        <v>17</v>
      </c>
      <c r="I140" s="23" t="s">
        <v>73</v>
      </c>
      <c r="J140" s="10" t="s">
        <v>506</v>
      </c>
      <c r="K140" s="24" t="s">
        <v>74</v>
      </c>
      <c r="L140" s="24" t="s">
        <v>834</v>
      </c>
      <c r="M140" s="23" t="s">
        <v>22</v>
      </c>
      <c r="N140" s="23" t="s">
        <v>77</v>
      </c>
      <c r="O140" s="32" t="s">
        <v>491</v>
      </c>
    </row>
    <row r="141" spans="1:15" ht="164.25" customHeight="1" x14ac:dyDescent="0.25">
      <c r="A141" s="30">
        <v>1198592</v>
      </c>
      <c r="B141" s="118" t="s">
        <v>425</v>
      </c>
      <c r="C141" s="23" t="s">
        <v>945</v>
      </c>
      <c r="D141" s="24" t="s">
        <v>946</v>
      </c>
      <c r="E141" s="25" t="s">
        <v>842</v>
      </c>
      <c r="F141" s="24" t="s">
        <v>947</v>
      </c>
      <c r="G141" s="24" t="s">
        <v>839</v>
      </c>
      <c r="H141" s="23" t="s">
        <v>17</v>
      </c>
      <c r="I141" s="23" t="s">
        <v>73</v>
      </c>
      <c r="J141" s="10" t="s">
        <v>506</v>
      </c>
      <c r="K141" s="24" t="s">
        <v>74</v>
      </c>
      <c r="L141" s="24" t="s">
        <v>834</v>
      </c>
      <c r="M141" s="23" t="s">
        <v>22</v>
      </c>
      <c r="N141" s="23" t="s">
        <v>77</v>
      </c>
      <c r="O141" s="32" t="s">
        <v>491</v>
      </c>
    </row>
  </sheetData>
  <autoFilter ref="C1:O141" xr:uid="{00000000-0009-0000-0000-000008000000}"/>
  <phoneticPr fontId="1" type="noConversion"/>
  <conditionalFormatting sqref="H2:H24 H45:H51">
    <cfRule type="cellIs" dxfId="229" priority="364" operator="equal">
      <formula>"Vehicle"</formula>
    </cfRule>
    <cfRule type="cellIs" dxfId="228" priority="365" operator="equal">
      <formula>"Bench"</formula>
    </cfRule>
  </conditionalFormatting>
  <conditionalFormatting sqref="J2:J10 J15:J20 J29:J104">
    <cfRule type="cellIs" dxfId="227" priority="361" operator="equal">
      <formula>"P0"</formula>
    </cfRule>
    <cfRule type="cellIs" dxfId="226" priority="362" operator="equal">
      <formula>"P1"</formula>
    </cfRule>
    <cfRule type="cellIs" dxfId="225" priority="363" operator="equal">
      <formula>"P2"</formula>
    </cfRule>
  </conditionalFormatting>
  <conditionalFormatting sqref="H25">
    <cfRule type="cellIs" dxfId="224" priority="354" operator="equal">
      <formula>"Vehicle"</formula>
    </cfRule>
    <cfRule type="cellIs" dxfId="223" priority="355" operator="equal">
      <formula>"Bench"</formula>
    </cfRule>
  </conditionalFormatting>
  <conditionalFormatting sqref="H26">
    <cfRule type="cellIs" dxfId="222" priority="349" operator="equal">
      <formula>"Vehicle"</formula>
    </cfRule>
    <cfRule type="cellIs" dxfId="221" priority="350" operator="equal">
      <formula>"Bench"</formula>
    </cfRule>
  </conditionalFormatting>
  <conditionalFormatting sqref="H27">
    <cfRule type="cellIs" dxfId="220" priority="344" operator="equal">
      <formula>"Vehicle"</formula>
    </cfRule>
    <cfRule type="cellIs" dxfId="219" priority="345" operator="equal">
      <formula>"Bench"</formula>
    </cfRule>
  </conditionalFormatting>
  <conditionalFormatting sqref="H28">
    <cfRule type="cellIs" dxfId="218" priority="339" operator="equal">
      <formula>"Vehicle"</formula>
    </cfRule>
    <cfRule type="cellIs" dxfId="217" priority="340" operator="equal">
      <formula>"Bench"</formula>
    </cfRule>
  </conditionalFormatting>
  <conditionalFormatting sqref="H29">
    <cfRule type="cellIs" dxfId="216" priority="334" operator="equal">
      <formula>"Vehicle"</formula>
    </cfRule>
    <cfRule type="cellIs" dxfId="215" priority="335" operator="equal">
      <formula>"Bench"</formula>
    </cfRule>
  </conditionalFormatting>
  <conditionalFormatting sqref="H30">
    <cfRule type="cellIs" dxfId="214" priority="329" operator="equal">
      <formula>"Vehicle"</formula>
    </cfRule>
    <cfRule type="cellIs" dxfId="213" priority="330" operator="equal">
      <formula>"Bench"</formula>
    </cfRule>
  </conditionalFormatting>
  <conditionalFormatting sqref="H31">
    <cfRule type="cellIs" dxfId="212" priority="324" operator="equal">
      <formula>"Vehicle"</formula>
    </cfRule>
    <cfRule type="cellIs" dxfId="211" priority="325" operator="equal">
      <formula>"Bench"</formula>
    </cfRule>
  </conditionalFormatting>
  <conditionalFormatting sqref="H32">
    <cfRule type="cellIs" dxfId="210" priority="319" operator="equal">
      <formula>"Vehicle"</formula>
    </cfRule>
    <cfRule type="cellIs" dxfId="209" priority="320" operator="equal">
      <formula>"Bench"</formula>
    </cfRule>
  </conditionalFormatting>
  <conditionalFormatting sqref="H33">
    <cfRule type="cellIs" dxfId="208" priority="314" operator="equal">
      <formula>"Vehicle"</formula>
    </cfRule>
    <cfRule type="cellIs" dxfId="207" priority="315" operator="equal">
      <formula>"Bench"</formula>
    </cfRule>
  </conditionalFormatting>
  <conditionalFormatting sqref="H34">
    <cfRule type="cellIs" dxfId="206" priority="309" operator="equal">
      <formula>"Vehicle"</formula>
    </cfRule>
    <cfRule type="cellIs" dxfId="205" priority="310" operator="equal">
      <formula>"Bench"</formula>
    </cfRule>
  </conditionalFormatting>
  <conditionalFormatting sqref="H35">
    <cfRule type="cellIs" dxfId="204" priority="304" operator="equal">
      <formula>"Vehicle"</formula>
    </cfRule>
    <cfRule type="cellIs" dxfId="203" priority="305" operator="equal">
      <formula>"Bench"</formula>
    </cfRule>
  </conditionalFormatting>
  <conditionalFormatting sqref="H36">
    <cfRule type="cellIs" dxfId="202" priority="299" operator="equal">
      <formula>"Vehicle"</formula>
    </cfRule>
    <cfRule type="cellIs" dxfId="201" priority="300" operator="equal">
      <formula>"Bench"</formula>
    </cfRule>
  </conditionalFormatting>
  <conditionalFormatting sqref="H37">
    <cfRule type="cellIs" dxfId="200" priority="294" operator="equal">
      <formula>"Vehicle"</formula>
    </cfRule>
    <cfRule type="cellIs" dxfId="199" priority="295" operator="equal">
      <formula>"Bench"</formula>
    </cfRule>
  </conditionalFormatting>
  <conditionalFormatting sqref="H38">
    <cfRule type="cellIs" dxfId="198" priority="289" operator="equal">
      <formula>"Vehicle"</formula>
    </cfRule>
    <cfRule type="cellIs" dxfId="197" priority="290" operator="equal">
      <formula>"Bench"</formula>
    </cfRule>
  </conditionalFormatting>
  <conditionalFormatting sqref="H39">
    <cfRule type="cellIs" dxfId="196" priority="284" operator="equal">
      <formula>"Vehicle"</formula>
    </cfRule>
    <cfRule type="cellIs" dxfId="195" priority="285" operator="equal">
      <formula>"Bench"</formula>
    </cfRule>
  </conditionalFormatting>
  <conditionalFormatting sqref="H40">
    <cfRule type="cellIs" dxfId="194" priority="279" operator="equal">
      <formula>"Vehicle"</formula>
    </cfRule>
    <cfRule type="cellIs" dxfId="193" priority="280" operator="equal">
      <formula>"Bench"</formula>
    </cfRule>
  </conditionalFormatting>
  <conditionalFormatting sqref="H41">
    <cfRule type="cellIs" dxfId="192" priority="274" operator="equal">
      <formula>"Vehicle"</formula>
    </cfRule>
    <cfRule type="cellIs" dxfId="191" priority="275" operator="equal">
      <formula>"Bench"</formula>
    </cfRule>
  </conditionalFormatting>
  <conditionalFormatting sqref="H42">
    <cfRule type="cellIs" dxfId="190" priority="269" operator="equal">
      <formula>"Vehicle"</formula>
    </cfRule>
    <cfRule type="cellIs" dxfId="189" priority="270" operator="equal">
      <formula>"Bench"</formula>
    </cfRule>
  </conditionalFormatting>
  <conditionalFormatting sqref="H43">
    <cfRule type="cellIs" dxfId="188" priority="264" operator="equal">
      <formula>"Vehicle"</formula>
    </cfRule>
    <cfRule type="cellIs" dxfId="187" priority="265" operator="equal">
      <formula>"Bench"</formula>
    </cfRule>
  </conditionalFormatting>
  <conditionalFormatting sqref="H44">
    <cfRule type="cellIs" dxfId="186" priority="259" operator="equal">
      <formula>"Vehicle"</formula>
    </cfRule>
    <cfRule type="cellIs" dxfId="185" priority="260" operator="equal">
      <formula>"Bench"</formula>
    </cfRule>
  </conditionalFormatting>
  <conditionalFormatting sqref="H52">
    <cfRule type="cellIs" dxfId="184" priority="249" operator="equal">
      <formula>"Vehicle"</formula>
    </cfRule>
    <cfRule type="cellIs" dxfId="183" priority="250" operator="equal">
      <formula>"Bench"</formula>
    </cfRule>
  </conditionalFormatting>
  <conditionalFormatting sqref="H53">
    <cfRule type="cellIs" dxfId="182" priority="244" operator="equal">
      <formula>"Vehicle"</formula>
    </cfRule>
    <cfRule type="cellIs" dxfId="181" priority="245" operator="equal">
      <formula>"Bench"</formula>
    </cfRule>
  </conditionalFormatting>
  <conditionalFormatting sqref="H54">
    <cfRule type="cellIs" dxfId="180" priority="239" operator="equal">
      <formula>"Vehicle"</formula>
    </cfRule>
    <cfRule type="cellIs" dxfId="179" priority="240" operator="equal">
      <formula>"Bench"</formula>
    </cfRule>
  </conditionalFormatting>
  <conditionalFormatting sqref="H55">
    <cfRule type="cellIs" dxfId="178" priority="234" operator="equal">
      <formula>"Vehicle"</formula>
    </cfRule>
    <cfRule type="cellIs" dxfId="177" priority="235" operator="equal">
      <formula>"Bench"</formula>
    </cfRule>
  </conditionalFormatting>
  <conditionalFormatting sqref="H56">
    <cfRule type="cellIs" dxfId="176" priority="229" operator="equal">
      <formula>"Vehicle"</formula>
    </cfRule>
    <cfRule type="cellIs" dxfId="175" priority="230" operator="equal">
      <formula>"Bench"</formula>
    </cfRule>
  </conditionalFormatting>
  <conditionalFormatting sqref="H57">
    <cfRule type="cellIs" dxfId="174" priority="224" operator="equal">
      <formula>"Vehicle"</formula>
    </cfRule>
    <cfRule type="cellIs" dxfId="173" priority="225" operator="equal">
      <formula>"Bench"</formula>
    </cfRule>
  </conditionalFormatting>
  <conditionalFormatting sqref="H58">
    <cfRule type="cellIs" dxfId="172" priority="219" operator="equal">
      <formula>"Vehicle"</formula>
    </cfRule>
    <cfRule type="cellIs" dxfId="171" priority="220" operator="equal">
      <formula>"Bench"</formula>
    </cfRule>
  </conditionalFormatting>
  <conditionalFormatting sqref="H59">
    <cfRule type="cellIs" dxfId="170" priority="214" operator="equal">
      <formula>"Vehicle"</formula>
    </cfRule>
    <cfRule type="cellIs" dxfId="169" priority="215" operator="equal">
      <formula>"Bench"</formula>
    </cfRule>
  </conditionalFormatting>
  <conditionalFormatting sqref="H60">
    <cfRule type="cellIs" dxfId="168" priority="209" operator="equal">
      <formula>"Vehicle"</formula>
    </cfRule>
    <cfRule type="cellIs" dxfId="167" priority="210" operator="equal">
      <formula>"Bench"</formula>
    </cfRule>
  </conditionalFormatting>
  <conditionalFormatting sqref="H61">
    <cfRule type="cellIs" dxfId="166" priority="204" operator="equal">
      <formula>"Vehicle"</formula>
    </cfRule>
    <cfRule type="cellIs" dxfId="165" priority="205" operator="equal">
      <formula>"Bench"</formula>
    </cfRule>
  </conditionalFormatting>
  <conditionalFormatting sqref="H62">
    <cfRule type="cellIs" dxfId="164" priority="199" operator="equal">
      <formula>"Vehicle"</formula>
    </cfRule>
    <cfRule type="cellIs" dxfId="163" priority="200" operator="equal">
      <formula>"Bench"</formula>
    </cfRule>
  </conditionalFormatting>
  <conditionalFormatting sqref="H63">
    <cfRule type="cellIs" dxfId="162" priority="194" operator="equal">
      <formula>"Vehicle"</formula>
    </cfRule>
    <cfRule type="cellIs" dxfId="161" priority="195" operator="equal">
      <formula>"Bench"</formula>
    </cfRule>
  </conditionalFormatting>
  <conditionalFormatting sqref="H64">
    <cfRule type="cellIs" dxfId="160" priority="189" operator="equal">
      <formula>"Vehicle"</formula>
    </cfRule>
    <cfRule type="cellIs" dxfId="159" priority="190" operator="equal">
      <formula>"Bench"</formula>
    </cfRule>
  </conditionalFormatting>
  <conditionalFormatting sqref="H65">
    <cfRule type="cellIs" dxfId="158" priority="184" operator="equal">
      <formula>"Vehicle"</formula>
    </cfRule>
    <cfRule type="cellIs" dxfId="157" priority="185" operator="equal">
      <formula>"Bench"</formula>
    </cfRule>
  </conditionalFormatting>
  <conditionalFormatting sqref="H66">
    <cfRule type="cellIs" dxfId="156" priority="179" operator="equal">
      <formula>"Vehicle"</formula>
    </cfRule>
    <cfRule type="cellIs" dxfId="155" priority="180" operator="equal">
      <formula>"Bench"</formula>
    </cfRule>
  </conditionalFormatting>
  <conditionalFormatting sqref="H67">
    <cfRule type="cellIs" dxfId="154" priority="174" operator="equal">
      <formula>"Vehicle"</formula>
    </cfRule>
    <cfRule type="cellIs" dxfId="153" priority="175" operator="equal">
      <formula>"Bench"</formula>
    </cfRule>
  </conditionalFormatting>
  <conditionalFormatting sqref="H68">
    <cfRule type="cellIs" dxfId="152" priority="169" operator="equal">
      <formula>"Vehicle"</formula>
    </cfRule>
    <cfRule type="cellIs" dxfId="151" priority="170" operator="equal">
      <formula>"Bench"</formula>
    </cfRule>
  </conditionalFormatting>
  <conditionalFormatting sqref="H69">
    <cfRule type="cellIs" dxfId="150" priority="164" operator="equal">
      <formula>"Vehicle"</formula>
    </cfRule>
    <cfRule type="cellIs" dxfId="149" priority="165" operator="equal">
      <formula>"Bench"</formula>
    </cfRule>
  </conditionalFormatting>
  <conditionalFormatting sqref="H70">
    <cfRule type="cellIs" dxfId="148" priority="159" operator="equal">
      <formula>"Vehicle"</formula>
    </cfRule>
    <cfRule type="cellIs" dxfId="147" priority="160" operator="equal">
      <formula>"Bench"</formula>
    </cfRule>
  </conditionalFormatting>
  <conditionalFormatting sqref="H71:H98">
    <cfRule type="cellIs" dxfId="146" priority="154" operator="equal">
      <formula>"Vehicle"</formula>
    </cfRule>
    <cfRule type="cellIs" dxfId="145" priority="155" operator="equal">
      <formula>"Bench"</formula>
    </cfRule>
  </conditionalFormatting>
  <conditionalFormatting sqref="H99">
    <cfRule type="cellIs" dxfId="144" priority="124" operator="equal">
      <formula>"Vehicle"</formula>
    </cfRule>
    <cfRule type="cellIs" dxfId="143" priority="125" operator="equal">
      <formula>"Bench"</formula>
    </cfRule>
  </conditionalFormatting>
  <conditionalFormatting sqref="H100">
    <cfRule type="cellIs" dxfId="142" priority="119" operator="equal">
      <formula>"Vehicle"</formula>
    </cfRule>
    <cfRule type="cellIs" dxfId="141" priority="120" operator="equal">
      <formula>"Bench"</formula>
    </cfRule>
  </conditionalFormatting>
  <conditionalFormatting sqref="H101">
    <cfRule type="cellIs" dxfId="140" priority="114" operator="equal">
      <formula>"Vehicle"</formula>
    </cfRule>
    <cfRule type="cellIs" dxfId="139" priority="115" operator="equal">
      <formula>"Bench"</formula>
    </cfRule>
  </conditionalFormatting>
  <conditionalFormatting sqref="H102">
    <cfRule type="cellIs" dxfId="138" priority="109" operator="equal">
      <formula>"Vehicle"</formula>
    </cfRule>
    <cfRule type="cellIs" dxfId="137" priority="110" operator="equal">
      <formula>"Bench"</formula>
    </cfRule>
  </conditionalFormatting>
  <conditionalFormatting sqref="H103">
    <cfRule type="cellIs" dxfId="136" priority="104" operator="equal">
      <formula>"Vehicle"</formula>
    </cfRule>
    <cfRule type="cellIs" dxfId="135" priority="105" operator="equal">
      <formula>"Bench"</formula>
    </cfRule>
  </conditionalFormatting>
  <conditionalFormatting sqref="H104">
    <cfRule type="cellIs" dxfId="134" priority="99" operator="equal">
      <formula>"Vehicle"</formula>
    </cfRule>
    <cfRule type="cellIs" dxfId="133" priority="100" operator="equal">
      <formula>"Bench"</formula>
    </cfRule>
  </conditionalFormatting>
  <conditionalFormatting sqref="H105:H141">
    <cfRule type="cellIs" dxfId="132" priority="94" operator="equal">
      <formula>"Vehicle"</formula>
    </cfRule>
    <cfRule type="cellIs" dxfId="131" priority="95" operator="equal">
      <formula>"Bench"</formula>
    </cfRule>
  </conditionalFormatting>
  <conditionalFormatting sqref="J11:J14">
    <cfRule type="cellIs" dxfId="130" priority="88" operator="equal">
      <formula>"P0"</formula>
    </cfRule>
    <cfRule type="cellIs" dxfId="129" priority="89" operator="equal">
      <formula>"P1"</formula>
    </cfRule>
    <cfRule type="cellIs" dxfId="128" priority="90" operator="equal">
      <formula>"P2"</formula>
    </cfRule>
  </conditionalFormatting>
  <conditionalFormatting sqref="J21">
    <cfRule type="cellIs" dxfId="127" priority="85" operator="equal">
      <formula>"P0"</formula>
    </cfRule>
    <cfRule type="cellIs" dxfId="126" priority="86" operator="equal">
      <formula>"P1"</formula>
    </cfRule>
    <cfRule type="cellIs" dxfId="125" priority="87" operator="equal">
      <formula>"P2"</formula>
    </cfRule>
  </conditionalFormatting>
  <conditionalFormatting sqref="J22">
    <cfRule type="cellIs" dxfId="124" priority="82" operator="equal">
      <formula>"P0"</formula>
    </cfRule>
    <cfRule type="cellIs" dxfId="123" priority="83" operator="equal">
      <formula>"P1"</formula>
    </cfRule>
    <cfRule type="cellIs" dxfId="122" priority="84" operator="equal">
      <formula>"P2"</formula>
    </cfRule>
  </conditionalFormatting>
  <conditionalFormatting sqref="J23">
    <cfRule type="cellIs" dxfId="121" priority="79" operator="equal">
      <formula>"P0"</formula>
    </cfRule>
    <cfRule type="cellIs" dxfId="120" priority="80" operator="equal">
      <formula>"P1"</formula>
    </cfRule>
    <cfRule type="cellIs" dxfId="119" priority="81" operator="equal">
      <formula>"P2"</formula>
    </cfRule>
  </conditionalFormatting>
  <conditionalFormatting sqref="J24">
    <cfRule type="cellIs" dxfId="118" priority="76" operator="equal">
      <formula>"P0"</formula>
    </cfRule>
    <cfRule type="cellIs" dxfId="117" priority="77" operator="equal">
      <formula>"P1"</formula>
    </cfRule>
    <cfRule type="cellIs" dxfId="116" priority="78" operator="equal">
      <formula>"P2"</formula>
    </cfRule>
  </conditionalFormatting>
  <conditionalFormatting sqref="J25">
    <cfRule type="cellIs" dxfId="115" priority="73" operator="equal">
      <formula>"P0"</formula>
    </cfRule>
    <cfRule type="cellIs" dxfId="114" priority="74" operator="equal">
      <formula>"P1"</formula>
    </cfRule>
    <cfRule type="cellIs" dxfId="113" priority="75" operator="equal">
      <formula>"P2"</formula>
    </cfRule>
  </conditionalFormatting>
  <conditionalFormatting sqref="J26">
    <cfRule type="cellIs" dxfId="112" priority="70" operator="equal">
      <formula>"P0"</formula>
    </cfRule>
    <cfRule type="cellIs" dxfId="111" priority="71" operator="equal">
      <formula>"P1"</formula>
    </cfRule>
    <cfRule type="cellIs" dxfId="110" priority="72" operator="equal">
      <formula>"P2"</formula>
    </cfRule>
  </conditionalFormatting>
  <conditionalFormatting sqref="J27">
    <cfRule type="cellIs" dxfId="109" priority="67" operator="equal">
      <formula>"P0"</formula>
    </cfRule>
    <cfRule type="cellIs" dxfId="108" priority="68" operator="equal">
      <formula>"P1"</formula>
    </cfRule>
    <cfRule type="cellIs" dxfId="107" priority="69" operator="equal">
      <formula>"P2"</formula>
    </cfRule>
  </conditionalFormatting>
  <conditionalFormatting sqref="J28">
    <cfRule type="cellIs" dxfId="106" priority="64" operator="equal">
      <formula>"P0"</formula>
    </cfRule>
    <cfRule type="cellIs" dxfId="105" priority="65" operator="equal">
      <formula>"P1"</formula>
    </cfRule>
    <cfRule type="cellIs" dxfId="104" priority="66" operator="equal">
      <formula>"P2"</formula>
    </cfRule>
  </conditionalFormatting>
  <conditionalFormatting sqref="J105">
    <cfRule type="cellIs" dxfId="103" priority="61" operator="equal">
      <formula>"P0"</formula>
    </cfRule>
    <cfRule type="cellIs" dxfId="102" priority="62" operator="equal">
      <formula>"P1"</formula>
    </cfRule>
    <cfRule type="cellIs" dxfId="101" priority="63" operator="equal">
      <formula>"P2"</formula>
    </cfRule>
  </conditionalFormatting>
  <conditionalFormatting sqref="J106:J107">
    <cfRule type="cellIs" dxfId="100" priority="58" operator="equal">
      <formula>"P0"</formula>
    </cfRule>
    <cfRule type="cellIs" dxfId="99" priority="59" operator="equal">
      <formula>"P1"</formula>
    </cfRule>
    <cfRule type="cellIs" dxfId="98" priority="60" operator="equal">
      <formula>"P2"</formula>
    </cfRule>
  </conditionalFormatting>
  <conditionalFormatting sqref="J108">
    <cfRule type="cellIs" dxfId="97" priority="55" operator="equal">
      <formula>"P0"</formula>
    </cfRule>
    <cfRule type="cellIs" dxfId="96" priority="56" operator="equal">
      <formula>"P1"</formula>
    </cfRule>
    <cfRule type="cellIs" dxfId="95" priority="57" operator="equal">
      <formula>"P2"</formula>
    </cfRule>
  </conditionalFormatting>
  <conditionalFormatting sqref="J109">
    <cfRule type="cellIs" dxfId="94" priority="52" operator="equal">
      <formula>"P0"</formula>
    </cfRule>
    <cfRule type="cellIs" dxfId="93" priority="53" operator="equal">
      <formula>"P1"</formula>
    </cfRule>
    <cfRule type="cellIs" dxfId="92" priority="54" operator="equal">
      <formula>"P2"</formula>
    </cfRule>
  </conditionalFormatting>
  <conditionalFormatting sqref="J110">
    <cfRule type="cellIs" dxfId="91" priority="49" operator="equal">
      <formula>"P0"</formula>
    </cfRule>
    <cfRule type="cellIs" dxfId="90" priority="50" operator="equal">
      <formula>"P1"</formula>
    </cfRule>
    <cfRule type="cellIs" dxfId="89" priority="51" operator="equal">
      <formula>"P2"</formula>
    </cfRule>
  </conditionalFormatting>
  <conditionalFormatting sqref="J111">
    <cfRule type="cellIs" dxfId="88" priority="46" operator="equal">
      <formula>"P0"</formula>
    </cfRule>
    <cfRule type="cellIs" dxfId="87" priority="47" operator="equal">
      <formula>"P1"</formula>
    </cfRule>
    <cfRule type="cellIs" dxfId="86" priority="48" operator="equal">
      <formula>"P2"</formula>
    </cfRule>
  </conditionalFormatting>
  <conditionalFormatting sqref="J112">
    <cfRule type="cellIs" dxfId="85" priority="43" operator="equal">
      <formula>"P0"</formula>
    </cfRule>
    <cfRule type="cellIs" dxfId="84" priority="44" operator="equal">
      <formula>"P1"</formula>
    </cfRule>
    <cfRule type="cellIs" dxfId="83" priority="45" operator="equal">
      <formula>"P2"</formula>
    </cfRule>
  </conditionalFormatting>
  <conditionalFormatting sqref="J113">
    <cfRule type="cellIs" dxfId="82" priority="40" operator="equal">
      <formula>"P0"</formula>
    </cfRule>
    <cfRule type="cellIs" dxfId="81" priority="41" operator="equal">
      <formula>"P1"</formula>
    </cfRule>
    <cfRule type="cellIs" dxfId="80" priority="42" operator="equal">
      <formula>"P2"</formula>
    </cfRule>
  </conditionalFormatting>
  <conditionalFormatting sqref="J114">
    <cfRule type="cellIs" dxfId="79" priority="37" operator="equal">
      <formula>"P0"</formula>
    </cfRule>
    <cfRule type="cellIs" dxfId="78" priority="38" operator="equal">
      <formula>"P1"</formula>
    </cfRule>
    <cfRule type="cellIs" dxfId="77" priority="39" operator="equal">
      <formula>"P2"</formula>
    </cfRule>
  </conditionalFormatting>
  <conditionalFormatting sqref="J115">
    <cfRule type="cellIs" dxfId="76" priority="34" operator="equal">
      <formula>"P0"</formula>
    </cfRule>
    <cfRule type="cellIs" dxfId="75" priority="35" operator="equal">
      <formula>"P1"</formula>
    </cfRule>
    <cfRule type="cellIs" dxfId="74" priority="36" operator="equal">
      <formula>"P2"</formula>
    </cfRule>
  </conditionalFormatting>
  <conditionalFormatting sqref="J116">
    <cfRule type="cellIs" dxfId="73" priority="31" operator="equal">
      <formula>"P0"</formula>
    </cfRule>
    <cfRule type="cellIs" dxfId="72" priority="32" operator="equal">
      <formula>"P1"</formula>
    </cfRule>
    <cfRule type="cellIs" dxfId="71" priority="33" operator="equal">
      <formula>"P2"</formula>
    </cfRule>
  </conditionalFormatting>
  <conditionalFormatting sqref="J117">
    <cfRule type="cellIs" dxfId="70" priority="28" operator="equal">
      <formula>"P0"</formula>
    </cfRule>
    <cfRule type="cellIs" dxfId="69" priority="29" operator="equal">
      <formula>"P1"</formula>
    </cfRule>
    <cfRule type="cellIs" dxfId="68" priority="30" operator="equal">
      <formula>"P2"</formula>
    </cfRule>
  </conditionalFormatting>
  <conditionalFormatting sqref="J118">
    <cfRule type="cellIs" dxfId="67" priority="25" operator="equal">
      <formula>"P0"</formula>
    </cfRule>
    <cfRule type="cellIs" dxfId="66" priority="26" operator="equal">
      <formula>"P1"</formula>
    </cfRule>
    <cfRule type="cellIs" dxfId="65" priority="27" operator="equal">
      <formula>"P2"</formula>
    </cfRule>
  </conditionalFormatting>
  <conditionalFormatting sqref="J119">
    <cfRule type="cellIs" dxfId="64" priority="22" operator="equal">
      <formula>"P0"</formula>
    </cfRule>
    <cfRule type="cellIs" dxfId="63" priority="23" operator="equal">
      <formula>"P1"</formula>
    </cfRule>
    <cfRule type="cellIs" dxfId="62" priority="24" operator="equal">
      <formula>"P2"</formula>
    </cfRule>
  </conditionalFormatting>
  <conditionalFormatting sqref="J120">
    <cfRule type="cellIs" dxfId="61" priority="19" operator="equal">
      <formula>"P0"</formula>
    </cfRule>
    <cfRule type="cellIs" dxfId="60" priority="20" operator="equal">
      <formula>"P1"</formula>
    </cfRule>
    <cfRule type="cellIs" dxfId="59" priority="21" operator="equal">
      <formula>"P2"</formula>
    </cfRule>
  </conditionalFormatting>
  <conditionalFormatting sqref="J121">
    <cfRule type="cellIs" dxfId="58" priority="16" operator="equal">
      <formula>"P0"</formula>
    </cfRule>
    <cfRule type="cellIs" dxfId="57" priority="17" operator="equal">
      <formula>"P1"</formula>
    </cfRule>
    <cfRule type="cellIs" dxfId="56" priority="18" operator="equal">
      <formula>"P2"</formula>
    </cfRule>
  </conditionalFormatting>
  <conditionalFormatting sqref="J122">
    <cfRule type="cellIs" dxfId="55" priority="13" operator="equal">
      <formula>"P0"</formula>
    </cfRule>
    <cfRule type="cellIs" dxfId="54" priority="14" operator="equal">
      <formula>"P1"</formula>
    </cfRule>
    <cfRule type="cellIs" dxfId="53" priority="15" operator="equal">
      <formula>"P2"</formula>
    </cfRule>
  </conditionalFormatting>
  <conditionalFormatting sqref="J123">
    <cfRule type="cellIs" dxfId="52" priority="10" operator="equal">
      <formula>"P0"</formula>
    </cfRule>
    <cfRule type="cellIs" dxfId="51" priority="11" operator="equal">
      <formula>"P1"</formula>
    </cfRule>
    <cfRule type="cellIs" dxfId="50" priority="12" operator="equal">
      <formula>"P2"</formula>
    </cfRule>
  </conditionalFormatting>
  <conditionalFormatting sqref="J124">
    <cfRule type="cellIs" dxfId="49" priority="7" operator="equal">
      <formula>"P0"</formula>
    </cfRule>
    <cfRule type="cellIs" dxfId="48" priority="8" operator="equal">
      <formula>"P1"</formula>
    </cfRule>
    <cfRule type="cellIs" dxfId="47" priority="9" operator="equal">
      <formula>"P2"</formula>
    </cfRule>
  </conditionalFormatting>
  <conditionalFormatting sqref="J125:J141">
    <cfRule type="cellIs" dxfId="46" priority="1" operator="equal">
      <formula>"P0"</formula>
    </cfRule>
    <cfRule type="cellIs" dxfId="45" priority="2" operator="equal">
      <formula>"P1"</formula>
    </cfRule>
    <cfRule type="cellIs" dxfId="44" priority="3" operator="equal">
      <formula>"P2"</formula>
    </cfRule>
  </conditionalFormatting>
  <dataValidations count="5">
    <dataValidation type="list" errorStyle="warning" allowBlank="1" showInputMessage="1" showErrorMessage="1" errorTitle="Error" error="Set a valid value" sqref="H2:H102" xr:uid="{00000000-0002-0000-0800-000000000000}">
      <formula1>LookupTypeRange256</formula1>
    </dataValidation>
    <dataValidation type="list" errorStyle="warning" allowBlank="1" showInputMessage="1" showErrorMessage="1" errorTitle="Error" error="Set a valid value" sqref="I2:I102" xr:uid="{00000000-0002-0000-0800-000001000000}">
      <formula1>LookupTypeRange257</formula1>
    </dataValidation>
    <dataValidation type="list" errorStyle="warning" allowBlank="1" showInputMessage="1" showErrorMessage="1" errorTitle="Error" error="Set a valid value" sqref="J2:J141" xr:uid="{00000000-0002-0000-0800-000002000000}">
      <formula1>LookupTypeRange263</formula1>
    </dataValidation>
    <dataValidation type="list" allowBlank="1" showInputMessage="1" showErrorMessage="1" sqref="N2:N102" xr:uid="{00000000-0002-0000-0800-000003000000}">
      <formula1>"Y, N"</formula1>
    </dataValidation>
    <dataValidation type="list" allowBlank="1" showInputMessage="1" showErrorMessage="1" sqref="M2:M102" xr:uid="{00000000-0002-0000-0800-000004000000}">
      <formula1>"smoke, sanity, full"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"/>
  <sheetViews>
    <sheetView topLeftCell="C1" workbookViewId="0">
      <selection activeCell="N6" sqref="N6"/>
    </sheetView>
  </sheetViews>
  <sheetFormatPr defaultColWidth="8.7265625" defaultRowHeight="14" x14ac:dyDescent="0.25"/>
  <cols>
    <col min="1" max="1" width="32.453125" style="29" customWidth="1"/>
    <col min="2" max="2" width="44.90625" style="32" bestFit="1" customWidth="1"/>
    <col min="3" max="3" width="51.26953125" style="32" customWidth="1"/>
    <col min="4" max="4" width="30.7265625" style="32" customWidth="1"/>
    <col min="5" max="5" width="44.453125" style="32" bestFit="1" customWidth="1"/>
    <col min="6" max="6" width="17.453125" style="32" bestFit="1" customWidth="1"/>
    <col min="7" max="7" width="27" style="32" customWidth="1"/>
    <col min="8" max="10" width="8.7265625" style="32" customWidth="1"/>
    <col min="11" max="11" width="23.36328125" style="32" bestFit="1" customWidth="1"/>
    <col min="12" max="12" width="8.7265625" style="32" customWidth="1"/>
    <col min="13" max="16384" width="8.7265625" style="32"/>
  </cols>
  <sheetData>
    <row r="1" spans="1:15" s="51" customFormat="1" ht="12.75" customHeight="1" x14ac:dyDescent="0.3">
      <c r="A1" s="119" t="s">
        <v>57</v>
      </c>
      <c r="B1" s="119" t="s">
        <v>58</v>
      </c>
      <c r="C1" s="51" t="s">
        <v>0</v>
      </c>
      <c r="D1" s="51" t="s">
        <v>1</v>
      </c>
      <c r="E1" s="51" t="s">
        <v>2</v>
      </c>
      <c r="F1" s="51" t="s">
        <v>59</v>
      </c>
      <c r="G1" s="51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5" t="s">
        <v>11</v>
      </c>
      <c r="O1" s="66" t="s">
        <v>66</v>
      </c>
    </row>
    <row r="2" spans="1:15" ht="40.5" customHeight="1" x14ac:dyDescent="0.25">
      <c r="A2" s="30">
        <v>1198110</v>
      </c>
      <c r="B2" s="10" t="s">
        <v>948</v>
      </c>
      <c r="C2" s="36" t="s">
        <v>949</v>
      </c>
      <c r="D2" s="36" t="s">
        <v>950</v>
      </c>
      <c r="E2" s="37" t="s">
        <v>951</v>
      </c>
      <c r="F2" s="37" t="s">
        <v>952</v>
      </c>
      <c r="G2" s="37" t="s">
        <v>953</v>
      </c>
      <c r="H2" s="23" t="s">
        <v>17</v>
      </c>
      <c r="I2" s="23" t="s">
        <v>73</v>
      </c>
      <c r="J2" s="118" t="s">
        <v>19</v>
      </c>
      <c r="K2" s="24" t="s">
        <v>20</v>
      </c>
      <c r="L2" s="24" t="s">
        <v>954</v>
      </c>
      <c r="M2" s="23" t="s">
        <v>22</v>
      </c>
      <c r="N2" s="23" t="s">
        <v>23</v>
      </c>
    </row>
    <row r="3" spans="1:15" ht="54.75" customHeight="1" x14ac:dyDescent="0.25">
      <c r="A3" s="30">
        <v>1198111</v>
      </c>
      <c r="B3" s="10" t="s">
        <v>948</v>
      </c>
      <c r="C3" s="36" t="s">
        <v>955</v>
      </c>
      <c r="D3" s="36" t="s">
        <v>956</v>
      </c>
      <c r="E3" s="37" t="s">
        <v>951</v>
      </c>
      <c r="F3" s="37" t="s">
        <v>957</v>
      </c>
      <c r="G3" s="37" t="s">
        <v>953</v>
      </c>
      <c r="H3" s="23" t="s">
        <v>17</v>
      </c>
      <c r="I3" s="23" t="s">
        <v>73</v>
      </c>
      <c r="J3" s="118" t="s">
        <v>103</v>
      </c>
      <c r="K3" s="24" t="s">
        <v>20</v>
      </c>
      <c r="L3" s="24" t="s">
        <v>954</v>
      </c>
      <c r="M3" s="23" t="s">
        <v>22</v>
      </c>
      <c r="N3" s="23" t="s">
        <v>23</v>
      </c>
    </row>
    <row r="4" spans="1:15" ht="68.25" customHeight="1" x14ac:dyDescent="0.25">
      <c r="A4" s="30">
        <v>1198112</v>
      </c>
      <c r="B4" s="10" t="s">
        <v>948</v>
      </c>
      <c r="C4" s="36" t="s">
        <v>958</v>
      </c>
      <c r="D4" s="36" t="s">
        <v>959</v>
      </c>
      <c r="E4" s="37" t="s">
        <v>951</v>
      </c>
      <c r="F4" s="37" t="s">
        <v>960</v>
      </c>
      <c r="G4" s="37" t="s">
        <v>953</v>
      </c>
      <c r="H4" s="23" t="s">
        <v>17</v>
      </c>
      <c r="I4" s="23" t="s">
        <v>73</v>
      </c>
      <c r="J4" s="118" t="s">
        <v>103</v>
      </c>
      <c r="K4" s="24" t="s">
        <v>20</v>
      </c>
      <c r="L4" s="24" t="s">
        <v>954</v>
      </c>
      <c r="M4" s="23" t="s">
        <v>22</v>
      </c>
      <c r="N4" s="23" t="s">
        <v>23</v>
      </c>
    </row>
    <row r="5" spans="1:15" ht="68.25" customHeight="1" x14ac:dyDescent="0.25">
      <c r="A5" s="30">
        <v>1198113</v>
      </c>
      <c r="B5" s="10" t="s">
        <v>948</v>
      </c>
      <c r="C5" s="36" t="s">
        <v>961</v>
      </c>
      <c r="D5" s="36" t="s">
        <v>962</v>
      </c>
      <c r="E5" s="37" t="s">
        <v>951</v>
      </c>
      <c r="F5" s="37" t="s">
        <v>963</v>
      </c>
      <c r="G5" s="37" t="s">
        <v>964</v>
      </c>
      <c r="H5" s="23" t="s">
        <v>17</v>
      </c>
      <c r="I5" s="23" t="s">
        <v>73</v>
      </c>
      <c r="J5" s="118" t="s">
        <v>506</v>
      </c>
      <c r="K5" s="24" t="s">
        <v>20</v>
      </c>
      <c r="L5" s="24" t="s">
        <v>954</v>
      </c>
      <c r="M5" s="23" t="s">
        <v>22</v>
      </c>
      <c r="N5" s="23" t="s">
        <v>23</v>
      </c>
    </row>
    <row r="6" spans="1:15" ht="96" customHeight="1" x14ac:dyDescent="0.25">
      <c r="A6" s="30">
        <v>1198114</v>
      </c>
      <c r="B6" s="10" t="s">
        <v>948</v>
      </c>
      <c r="C6" s="36" t="s">
        <v>965</v>
      </c>
      <c r="D6" s="36" t="s">
        <v>966</v>
      </c>
      <c r="E6" s="37" t="s">
        <v>967</v>
      </c>
      <c r="F6" s="37" t="s">
        <v>957</v>
      </c>
      <c r="G6" s="37" t="s">
        <v>953</v>
      </c>
      <c r="H6" s="23" t="s">
        <v>17</v>
      </c>
      <c r="I6" s="23" t="s">
        <v>73</v>
      </c>
      <c r="J6" s="118" t="s">
        <v>19</v>
      </c>
      <c r="K6" s="24" t="s">
        <v>20</v>
      </c>
      <c r="L6" s="24" t="s">
        <v>954</v>
      </c>
      <c r="M6" s="23" t="s">
        <v>22</v>
      </c>
      <c r="N6" s="23" t="s">
        <v>23</v>
      </c>
    </row>
    <row r="7" spans="1:15" ht="96" customHeight="1" x14ac:dyDescent="0.25">
      <c r="A7" s="30">
        <v>1198115</v>
      </c>
      <c r="B7" s="10" t="s">
        <v>948</v>
      </c>
      <c r="C7" s="36" t="s">
        <v>968</v>
      </c>
      <c r="D7" s="36" t="s">
        <v>969</v>
      </c>
      <c r="E7" s="37" t="s">
        <v>970</v>
      </c>
      <c r="F7" s="37" t="s">
        <v>957</v>
      </c>
      <c r="G7" s="37" t="s">
        <v>971</v>
      </c>
      <c r="H7" s="23" t="s">
        <v>17</v>
      </c>
      <c r="I7" s="23" t="s">
        <v>73</v>
      </c>
      <c r="J7" s="118" t="s">
        <v>506</v>
      </c>
      <c r="K7" s="24" t="s">
        <v>20</v>
      </c>
      <c r="L7" s="24" t="s">
        <v>954</v>
      </c>
      <c r="M7" s="23" t="s">
        <v>22</v>
      </c>
      <c r="N7" s="23" t="s">
        <v>23</v>
      </c>
    </row>
    <row r="8" spans="1:15" ht="96" customHeight="1" x14ac:dyDescent="0.25">
      <c r="A8" s="30">
        <v>1198116</v>
      </c>
      <c r="B8" s="10" t="s">
        <v>948</v>
      </c>
      <c r="C8" s="36" t="s">
        <v>972</v>
      </c>
      <c r="D8" s="36" t="s">
        <v>969</v>
      </c>
      <c r="E8" s="37" t="s">
        <v>973</v>
      </c>
      <c r="F8" s="37" t="s">
        <v>957</v>
      </c>
      <c r="G8" s="37" t="s">
        <v>971</v>
      </c>
      <c r="H8" s="23" t="s">
        <v>17</v>
      </c>
      <c r="I8" s="23" t="s">
        <v>73</v>
      </c>
      <c r="J8" s="118" t="s">
        <v>506</v>
      </c>
      <c r="K8" s="24" t="s">
        <v>20</v>
      </c>
      <c r="L8" s="24" t="s">
        <v>954</v>
      </c>
      <c r="M8" s="23" t="s">
        <v>22</v>
      </c>
      <c r="N8" s="23" t="s">
        <v>23</v>
      </c>
    </row>
    <row r="9" spans="1:15" ht="82.5" customHeight="1" x14ac:dyDescent="0.25">
      <c r="A9" s="30">
        <v>1198117</v>
      </c>
      <c r="B9" s="10" t="s">
        <v>948</v>
      </c>
      <c r="C9" s="36" t="s">
        <v>974</v>
      </c>
      <c r="D9" s="36" t="s">
        <v>975</v>
      </c>
      <c r="E9" s="37" t="s">
        <v>951</v>
      </c>
      <c r="F9" s="37" t="s">
        <v>957</v>
      </c>
      <c r="G9" s="37" t="s">
        <v>953</v>
      </c>
      <c r="H9" s="23" t="s">
        <v>17</v>
      </c>
      <c r="I9" s="23" t="s">
        <v>73</v>
      </c>
      <c r="J9" s="118" t="s">
        <v>19</v>
      </c>
      <c r="K9" s="24" t="s">
        <v>20</v>
      </c>
      <c r="L9" s="24" t="s">
        <v>954</v>
      </c>
      <c r="M9" s="23" t="s">
        <v>22</v>
      </c>
      <c r="N9" s="23" t="s">
        <v>23</v>
      </c>
    </row>
    <row r="10" spans="1:15" ht="82.5" customHeight="1" x14ac:dyDescent="0.25">
      <c r="A10" s="30">
        <v>1198118</v>
      </c>
      <c r="B10" s="10" t="s">
        <v>948</v>
      </c>
      <c r="C10" s="36" t="s">
        <v>976</v>
      </c>
      <c r="D10" s="36" t="s">
        <v>977</v>
      </c>
      <c r="E10" s="37" t="s">
        <v>951</v>
      </c>
      <c r="F10" s="37" t="s">
        <v>957</v>
      </c>
      <c r="G10" s="37" t="s">
        <v>953</v>
      </c>
      <c r="H10" s="23" t="s">
        <v>17</v>
      </c>
      <c r="I10" s="23" t="s">
        <v>73</v>
      </c>
      <c r="J10" s="118" t="s">
        <v>19</v>
      </c>
      <c r="K10" s="24" t="s">
        <v>20</v>
      </c>
      <c r="L10" s="24" t="s">
        <v>954</v>
      </c>
      <c r="M10" s="23" t="s">
        <v>22</v>
      </c>
      <c r="N10" s="23" t="s">
        <v>23</v>
      </c>
    </row>
    <row r="11" spans="1:15" ht="39.75" customHeight="1" x14ac:dyDescent="0.25">
      <c r="A11" s="30">
        <v>1198119</v>
      </c>
      <c r="B11" s="10" t="s">
        <v>948</v>
      </c>
      <c r="C11" s="36" t="s">
        <v>978</v>
      </c>
      <c r="D11" s="116" t="s">
        <v>979</v>
      </c>
      <c r="E11" s="117" t="s">
        <v>951</v>
      </c>
      <c r="F11" s="117" t="s">
        <v>952</v>
      </c>
      <c r="G11" s="117" t="s">
        <v>953</v>
      </c>
      <c r="H11" s="23" t="s">
        <v>17</v>
      </c>
      <c r="I11" s="23" t="s">
        <v>73</v>
      </c>
      <c r="J11" s="23" t="s">
        <v>19</v>
      </c>
      <c r="K11" s="24" t="s">
        <v>20</v>
      </c>
      <c r="L11" s="24" t="s">
        <v>954</v>
      </c>
      <c r="M11" s="23" t="s">
        <v>22</v>
      </c>
      <c r="N11" s="23" t="s">
        <v>23</v>
      </c>
    </row>
  </sheetData>
  <phoneticPr fontId="1" type="noConversion"/>
  <conditionalFormatting sqref="G2:G5">
    <cfRule type="cellIs" dxfId="43" priority="37" operator="equal">
      <formula>"Vehicle"</formula>
    </cfRule>
    <cfRule type="cellIs" dxfId="42" priority="38" operator="equal">
      <formula>"Bench"</formula>
    </cfRule>
  </conditionalFormatting>
  <conditionalFormatting sqref="G6">
    <cfRule type="cellIs" dxfId="41" priority="32" operator="equal">
      <formula>"Vehicle"</formula>
    </cfRule>
    <cfRule type="cellIs" dxfId="40" priority="33" operator="equal">
      <formula>"Bench"</formula>
    </cfRule>
  </conditionalFormatting>
  <conditionalFormatting sqref="G7">
    <cfRule type="cellIs" dxfId="39" priority="27" operator="equal">
      <formula>"Vehicle"</formula>
    </cfRule>
    <cfRule type="cellIs" dxfId="38" priority="28" operator="equal">
      <formula>"Bench"</formula>
    </cfRule>
  </conditionalFormatting>
  <conditionalFormatting sqref="G8:G11">
    <cfRule type="cellIs" dxfId="37" priority="22" operator="equal">
      <formula>"Vehicle"</formula>
    </cfRule>
    <cfRule type="cellIs" dxfId="36" priority="23" operator="equal">
      <formula>"Bench"</formula>
    </cfRule>
  </conditionalFormatting>
  <conditionalFormatting sqref="I11">
    <cfRule type="cellIs" dxfId="35" priority="19" operator="equal">
      <formula>"P0"</formula>
    </cfRule>
    <cfRule type="cellIs" dxfId="34" priority="20" operator="equal">
      <formula>"P1"</formula>
    </cfRule>
    <cfRule type="cellIs" dxfId="33" priority="21" operator="equal">
      <formula>"P2"</formula>
    </cfRule>
  </conditionalFormatting>
  <conditionalFormatting sqref="I2">
    <cfRule type="cellIs" dxfId="32" priority="16" operator="equal">
      <formula>"P0"</formula>
    </cfRule>
    <cfRule type="cellIs" dxfId="31" priority="17" operator="equal">
      <formula>"P1"</formula>
    </cfRule>
    <cfRule type="cellIs" dxfId="30" priority="18" operator="equal">
      <formula>"P2"</formula>
    </cfRule>
  </conditionalFormatting>
  <conditionalFormatting sqref="I3">
    <cfRule type="cellIs" dxfId="29" priority="13" operator="equal">
      <formula>"P0"</formula>
    </cfRule>
    <cfRule type="cellIs" dxfId="28" priority="14" operator="equal">
      <formula>"P1"</formula>
    </cfRule>
    <cfRule type="cellIs" dxfId="27" priority="15" operator="equal">
      <formula>"P2"</formula>
    </cfRule>
  </conditionalFormatting>
  <conditionalFormatting sqref="I4:I5">
    <cfRule type="cellIs" dxfId="26" priority="10" operator="equal">
      <formula>"P0"</formula>
    </cfRule>
    <cfRule type="cellIs" dxfId="25" priority="11" operator="equal">
      <formula>"P1"</formula>
    </cfRule>
    <cfRule type="cellIs" dxfId="24" priority="12" operator="equal">
      <formula>"P2"</formula>
    </cfRule>
  </conditionalFormatting>
  <conditionalFormatting sqref="I6">
    <cfRule type="cellIs" dxfId="23" priority="7" operator="equal">
      <formula>"P0"</formula>
    </cfRule>
    <cfRule type="cellIs" dxfId="22" priority="8" operator="equal">
      <formula>"P1"</formula>
    </cfRule>
    <cfRule type="cellIs" dxfId="21" priority="9" operator="equal">
      <formula>"P2"</formula>
    </cfRule>
  </conditionalFormatting>
  <conditionalFormatting sqref="I7:I9">
    <cfRule type="cellIs" dxfId="20" priority="4" operator="equal">
      <formula>"P0"</formula>
    </cfRule>
    <cfRule type="cellIs" dxfId="19" priority="5" operator="equal">
      <formula>"P1"</formula>
    </cfRule>
    <cfRule type="cellIs" dxfId="18" priority="6" operator="equal">
      <formula>"P2"</formula>
    </cfRule>
  </conditionalFormatting>
  <conditionalFormatting sqref="I10">
    <cfRule type="cellIs" dxfId="17" priority="1" operator="equal">
      <formula>"P0"</formula>
    </cfRule>
    <cfRule type="cellIs" dxfId="16" priority="2" operator="equal">
      <formula>"P1"</formula>
    </cfRule>
    <cfRule type="cellIs" dxfId="15" priority="3" operator="equal">
      <formula>"P2"</formula>
    </cfRule>
  </conditionalFormatting>
  <dataValidations count="2">
    <dataValidation type="list" allowBlank="1" showInputMessage="1" showErrorMessage="1" sqref="L2:L11" xr:uid="{00000000-0002-0000-0700-000000000000}">
      <formula1>"smoke, sanity, full"</formula1>
    </dataValidation>
    <dataValidation type="list" allowBlank="1" showInputMessage="1" showErrorMessage="1" sqref="M2:M11" xr:uid="{00000000-0002-0000-0700-000001000000}">
      <formula1>"Y, 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O232"/>
  <sheetViews>
    <sheetView topLeftCell="G92" workbookViewId="0">
      <selection activeCell="P80" sqref="P80"/>
    </sheetView>
  </sheetViews>
  <sheetFormatPr defaultRowHeight="14" x14ac:dyDescent="0.25"/>
  <cols>
    <col min="1" max="2" width="28" style="31" customWidth="1"/>
    <col min="3" max="3" width="32" style="17" customWidth="1"/>
    <col min="4" max="4" width="28" style="17" customWidth="1"/>
    <col min="5" max="5" width="33.26953125" style="17" customWidth="1"/>
    <col min="6" max="6" width="55" style="17" customWidth="1"/>
    <col min="7" max="7" width="43.90625" style="17" customWidth="1"/>
    <col min="8" max="8" width="13.36328125" style="17" bestFit="1" customWidth="1"/>
    <col min="9" max="9" width="22.6328125" style="17" customWidth="1"/>
    <col min="10" max="10" width="16.7265625" style="17" customWidth="1"/>
    <col min="11" max="11" width="8.453125" style="17" bestFit="1" customWidth="1"/>
    <col min="12" max="12" width="17.08984375" style="17" customWidth="1"/>
    <col min="13" max="13" width="10.453125" style="17" bestFit="1" customWidth="1"/>
    <col min="14" max="15" width="12.90625" style="17" bestFit="1" customWidth="1"/>
  </cols>
  <sheetData>
    <row r="1" spans="1:15" s="67" customFormat="1" ht="14.25" customHeight="1" x14ac:dyDescent="0.3">
      <c r="A1" s="123" t="s">
        <v>57</v>
      </c>
      <c r="B1" s="63" t="s">
        <v>58</v>
      </c>
      <c r="C1" s="63" t="s">
        <v>0</v>
      </c>
      <c r="D1" s="63" t="s">
        <v>1</v>
      </c>
      <c r="E1" s="63" t="s">
        <v>2</v>
      </c>
      <c r="F1" s="63" t="s">
        <v>59</v>
      </c>
      <c r="G1" s="63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5" t="s">
        <v>11</v>
      </c>
      <c r="O1" s="62" t="s">
        <v>980</v>
      </c>
    </row>
    <row r="2" spans="1:15" s="18" customFormat="1" ht="61.5" hidden="1" customHeight="1" x14ac:dyDescent="0.3">
      <c r="A2" s="31">
        <v>1198593</v>
      </c>
      <c r="B2" s="38" t="s">
        <v>981</v>
      </c>
      <c r="C2" s="46" t="s">
        <v>982</v>
      </c>
      <c r="D2" s="46" t="s">
        <v>983</v>
      </c>
      <c r="E2" s="43" t="s">
        <v>984</v>
      </c>
      <c r="F2" s="41" t="s">
        <v>985</v>
      </c>
      <c r="G2" s="41" t="s">
        <v>986</v>
      </c>
      <c r="H2" s="47" t="s">
        <v>17</v>
      </c>
      <c r="I2" s="46" t="s">
        <v>73</v>
      </c>
      <c r="J2" s="40" t="s">
        <v>506</v>
      </c>
      <c r="K2" s="41" t="s">
        <v>74</v>
      </c>
      <c r="L2" s="46"/>
      <c r="M2" s="46" t="s">
        <v>22</v>
      </c>
      <c r="N2" s="46" t="s">
        <v>23</v>
      </c>
      <c r="O2" s="46" t="s">
        <v>987</v>
      </c>
    </row>
    <row r="3" spans="1:15" s="16" customFormat="1" ht="66.75" hidden="1" customHeight="1" x14ac:dyDescent="0.25">
      <c r="A3" s="31">
        <v>1198594</v>
      </c>
      <c r="B3" s="38" t="s">
        <v>981</v>
      </c>
      <c r="C3" s="46" t="s">
        <v>988</v>
      </c>
      <c r="D3" s="46" t="s">
        <v>989</v>
      </c>
      <c r="E3" s="43" t="s">
        <v>984</v>
      </c>
      <c r="F3" s="41" t="s">
        <v>990</v>
      </c>
      <c r="G3" s="41" t="s">
        <v>991</v>
      </c>
      <c r="H3" s="47" t="s">
        <v>17</v>
      </c>
      <c r="I3" s="46" t="s">
        <v>73</v>
      </c>
      <c r="J3" s="40" t="s">
        <v>506</v>
      </c>
      <c r="K3" s="41" t="s">
        <v>74</v>
      </c>
      <c r="L3" s="46"/>
      <c r="M3" s="46" t="s">
        <v>22</v>
      </c>
      <c r="N3" s="46" t="s">
        <v>23</v>
      </c>
      <c r="O3" s="46" t="s">
        <v>987</v>
      </c>
    </row>
    <row r="4" spans="1:15" ht="67.5" hidden="1" customHeight="1" x14ac:dyDescent="0.25">
      <c r="A4" s="31">
        <v>1198595</v>
      </c>
      <c r="B4" s="38" t="s">
        <v>981</v>
      </c>
      <c r="C4" s="46" t="s">
        <v>992</v>
      </c>
      <c r="D4" s="46" t="s">
        <v>993</v>
      </c>
      <c r="E4" s="43" t="s">
        <v>984</v>
      </c>
      <c r="F4" s="41" t="s">
        <v>994</v>
      </c>
      <c r="G4" s="41" t="s">
        <v>995</v>
      </c>
      <c r="H4" s="47" t="s">
        <v>17</v>
      </c>
      <c r="I4" s="46" t="s">
        <v>73</v>
      </c>
      <c r="J4" s="40" t="s">
        <v>506</v>
      </c>
      <c r="K4" s="41" t="s">
        <v>74</v>
      </c>
      <c r="L4" s="46"/>
      <c r="M4" s="46" t="s">
        <v>22</v>
      </c>
      <c r="N4" s="46" t="s">
        <v>23</v>
      </c>
      <c r="O4" s="46" t="s">
        <v>996</v>
      </c>
    </row>
    <row r="5" spans="1:15" ht="85.5" hidden="1" customHeight="1" x14ac:dyDescent="0.25">
      <c r="A5" s="31">
        <v>1198596</v>
      </c>
      <c r="B5" s="38" t="s">
        <v>981</v>
      </c>
      <c r="C5" s="46" t="s">
        <v>997</v>
      </c>
      <c r="D5" s="46" t="s">
        <v>998</v>
      </c>
      <c r="E5" s="43" t="s">
        <v>984</v>
      </c>
      <c r="F5" s="41" t="s">
        <v>999</v>
      </c>
      <c r="G5" s="41" t="s">
        <v>1000</v>
      </c>
      <c r="H5" s="47" t="s">
        <v>17</v>
      </c>
      <c r="I5" s="46" t="s">
        <v>73</v>
      </c>
      <c r="J5" s="42" t="s">
        <v>103</v>
      </c>
      <c r="K5" s="41" t="s">
        <v>74</v>
      </c>
      <c r="L5" s="46"/>
      <c r="M5" s="46" t="s">
        <v>113</v>
      </c>
      <c r="N5" s="46" t="s">
        <v>23</v>
      </c>
      <c r="O5" s="46" t="s">
        <v>996</v>
      </c>
    </row>
    <row r="6" spans="1:15" ht="78.75" hidden="1" customHeight="1" x14ac:dyDescent="0.25">
      <c r="A6" s="31">
        <v>1198597</v>
      </c>
      <c r="B6" s="38" t="s">
        <v>981</v>
      </c>
      <c r="C6" s="46" t="s">
        <v>1001</v>
      </c>
      <c r="D6" s="46" t="s">
        <v>1002</v>
      </c>
      <c r="E6" s="43" t="s">
        <v>984</v>
      </c>
      <c r="F6" s="41" t="s">
        <v>1003</v>
      </c>
      <c r="G6" s="41" t="s">
        <v>1004</v>
      </c>
      <c r="H6" s="47" t="s">
        <v>17</v>
      </c>
      <c r="I6" s="46" t="s">
        <v>73</v>
      </c>
      <c r="J6" s="40" t="s">
        <v>506</v>
      </c>
      <c r="K6" s="41" t="s">
        <v>74</v>
      </c>
      <c r="L6" s="46"/>
      <c r="M6" s="46" t="s">
        <v>22</v>
      </c>
      <c r="N6" s="46" t="s">
        <v>23</v>
      </c>
      <c r="O6" s="46" t="s">
        <v>996</v>
      </c>
    </row>
    <row r="7" spans="1:15" ht="75.75" hidden="1" customHeight="1" x14ac:dyDescent="0.25">
      <c r="A7" s="31">
        <v>1198598</v>
      </c>
      <c r="B7" s="38" t="s">
        <v>981</v>
      </c>
      <c r="C7" s="46" t="s">
        <v>1005</v>
      </c>
      <c r="D7" s="46" t="s">
        <v>1006</v>
      </c>
      <c r="E7" s="43" t="s">
        <v>984</v>
      </c>
      <c r="F7" s="41" t="s">
        <v>1007</v>
      </c>
      <c r="G7" s="41" t="s">
        <v>1008</v>
      </c>
      <c r="H7" s="47" t="s">
        <v>17</v>
      </c>
      <c r="I7" s="46" t="s">
        <v>73</v>
      </c>
      <c r="J7" s="40" t="s">
        <v>506</v>
      </c>
      <c r="K7" s="41" t="s">
        <v>74</v>
      </c>
      <c r="L7" s="46"/>
      <c r="M7" s="46" t="s">
        <v>22</v>
      </c>
      <c r="N7" s="46" t="s">
        <v>23</v>
      </c>
      <c r="O7" s="46" t="s">
        <v>996</v>
      </c>
    </row>
    <row r="8" spans="1:15" ht="73.5" hidden="1" customHeight="1" x14ac:dyDescent="0.25">
      <c r="A8" s="31">
        <v>1198599</v>
      </c>
      <c r="B8" s="38" t="s">
        <v>981</v>
      </c>
      <c r="C8" s="46" t="s">
        <v>1009</v>
      </c>
      <c r="D8" s="46" t="s">
        <v>1010</v>
      </c>
      <c r="E8" s="43" t="s">
        <v>984</v>
      </c>
      <c r="F8" s="41" t="s">
        <v>1011</v>
      </c>
      <c r="G8" s="41" t="s">
        <v>1012</v>
      </c>
      <c r="H8" s="47" t="s">
        <v>17</v>
      </c>
      <c r="I8" s="46" t="s">
        <v>73</v>
      </c>
      <c r="J8" s="40" t="s">
        <v>506</v>
      </c>
      <c r="K8" s="41" t="s">
        <v>74</v>
      </c>
      <c r="L8" s="46"/>
      <c r="M8" s="46" t="s">
        <v>22</v>
      </c>
      <c r="N8" s="46" t="s">
        <v>23</v>
      </c>
      <c r="O8" s="46" t="s">
        <v>996</v>
      </c>
    </row>
    <row r="9" spans="1:15" ht="90" hidden="1" customHeight="1" x14ac:dyDescent="0.25">
      <c r="A9" s="31">
        <v>1198601</v>
      </c>
      <c r="B9" s="38" t="s">
        <v>981</v>
      </c>
      <c r="C9" s="46" t="s">
        <v>1013</v>
      </c>
      <c r="D9" s="46" t="s">
        <v>1014</v>
      </c>
      <c r="E9" s="43" t="s">
        <v>984</v>
      </c>
      <c r="F9" s="41" t="s">
        <v>1015</v>
      </c>
      <c r="G9" s="41" t="s">
        <v>1016</v>
      </c>
      <c r="H9" s="47" t="s">
        <v>17</v>
      </c>
      <c r="I9" s="46" t="s">
        <v>73</v>
      </c>
      <c r="J9" s="40" t="s">
        <v>506</v>
      </c>
      <c r="K9" s="41" t="s">
        <v>74</v>
      </c>
      <c r="L9" s="46"/>
      <c r="M9" s="46" t="s">
        <v>22</v>
      </c>
      <c r="N9" s="46" t="s">
        <v>23</v>
      </c>
      <c r="O9" s="46" t="s">
        <v>996</v>
      </c>
    </row>
    <row r="10" spans="1:15" ht="97.5" customHeight="1" x14ac:dyDescent="0.25">
      <c r="A10" s="31">
        <v>1198602</v>
      </c>
      <c r="B10" s="38" t="s">
        <v>981</v>
      </c>
      <c r="C10" s="46" t="s">
        <v>1017</v>
      </c>
      <c r="D10" s="46" t="s">
        <v>1018</v>
      </c>
      <c r="E10" s="43" t="s">
        <v>984</v>
      </c>
      <c r="F10" s="41" t="s">
        <v>1019</v>
      </c>
      <c r="G10" s="41" t="s">
        <v>1020</v>
      </c>
      <c r="H10" s="47" t="s">
        <v>17</v>
      </c>
      <c r="I10" s="46" t="s">
        <v>73</v>
      </c>
      <c r="J10" s="42" t="s">
        <v>103</v>
      </c>
      <c r="K10" s="41" t="s">
        <v>74</v>
      </c>
      <c r="L10" s="46"/>
      <c r="M10" s="46" t="s">
        <v>113</v>
      </c>
      <c r="N10" s="46" t="s">
        <v>23</v>
      </c>
      <c r="O10" s="46" t="s">
        <v>996</v>
      </c>
    </row>
    <row r="11" spans="1:15" ht="93" hidden="1" customHeight="1" x14ac:dyDescent="0.25">
      <c r="A11" s="31">
        <v>1198604</v>
      </c>
      <c r="B11" s="38" t="s">
        <v>981</v>
      </c>
      <c r="C11" s="46" t="s">
        <v>1021</v>
      </c>
      <c r="D11" s="46" t="s">
        <v>1022</v>
      </c>
      <c r="E11" s="43" t="s">
        <v>984</v>
      </c>
      <c r="F11" s="41" t="s">
        <v>1023</v>
      </c>
      <c r="G11" s="41" t="s">
        <v>1024</v>
      </c>
      <c r="H11" s="47" t="s">
        <v>17</v>
      </c>
      <c r="I11" s="46" t="s">
        <v>73</v>
      </c>
      <c r="J11" s="40" t="s">
        <v>506</v>
      </c>
      <c r="K11" s="41" t="s">
        <v>74</v>
      </c>
      <c r="L11" s="46"/>
      <c r="M11" s="46" t="s">
        <v>22</v>
      </c>
      <c r="N11" s="46" t="s">
        <v>23</v>
      </c>
      <c r="O11" s="46" t="s">
        <v>996</v>
      </c>
    </row>
    <row r="12" spans="1:15" ht="93" hidden="1" customHeight="1" x14ac:dyDescent="0.25">
      <c r="A12" s="31">
        <v>1198606</v>
      </c>
      <c r="B12" s="38" t="s">
        <v>981</v>
      </c>
      <c r="C12" s="46" t="s">
        <v>1025</v>
      </c>
      <c r="D12" s="46" t="s">
        <v>1026</v>
      </c>
      <c r="E12" s="43" t="s">
        <v>984</v>
      </c>
      <c r="F12" s="41" t="s">
        <v>1027</v>
      </c>
      <c r="G12" s="41" t="s">
        <v>1028</v>
      </c>
      <c r="H12" s="47" t="s">
        <v>17</v>
      </c>
      <c r="I12" s="46" t="s">
        <v>73</v>
      </c>
      <c r="J12" s="40" t="s">
        <v>506</v>
      </c>
      <c r="K12" s="41" t="s">
        <v>74</v>
      </c>
      <c r="L12" s="46"/>
      <c r="M12" s="46" t="s">
        <v>22</v>
      </c>
      <c r="N12" s="46" t="s">
        <v>23</v>
      </c>
      <c r="O12" s="46" t="s">
        <v>996</v>
      </c>
    </row>
    <row r="13" spans="1:15" ht="93" hidden="1" customHeight="1" x14ac:dyDescent="0.25">
      <c r="A13" s="31">
        <v>1198607</v>
      </c>
      <c r="B13" s="38" t="s">
        <v>981</v>
      </c>
      <c r="C13" s="46" t="s">
        <v>1029</v>
      </c>
      <c r="D13" s="46" t="s">
        <v>1030</v>
      </c>
      <c r="E13" s="43" t="s">
        <v>984</v>
      </c>
      <c r="F13" s="41" t="s">
        <v>1031</v>
      </c>
      <c r="G13" s="41" t="s">
        <v>1032</v>
      </c>
      <c r="H13" s="47" t="s">
        <v>17</v>
      </c>
      <c r="I13" s="46" t="s">
        <v>73</v>
      </c>
      <c r="J13" s="40" t="s">
        <v>506</v>
      </c>
      <c r="K13" s="41" t="s">
        <v>74</v>
      </c>
      <c r="L13" s="46"/>
      <c r="M13" s="46" t="s">
        <v>22</v>
      </c>
      <c r="N13" s="46" t="s">
        <v>23</v>
      </c>
      <c r="O13" s="46" t="s">
        <v>996</v>
      </c>
    </row>
    <row r="14" spans="1:15" ht="30.75" hidden="1" customHeight="1" x14ac:dyDescent="0.25">
      <c r="A14" s="31">
        <v>1198609</v>
      </c>
      <c r="B14" s="38" t="s">
        <v>981</v>
      </c>
      <c r="C14" s="46" t="s">
        <v>1033</v>
      </c>
      <c r="D14" s="46" t="s">
        <v>1034</v>
      </c>
      <c r="E14" s="43" t="s">
        <v>1035</v>
      </c>
      <c r="F14" s="41" t="s">
        <v>1036</v>
      </c>
      <c r="G14" s="41" t="s">
        <v>1037</v>
      </c>
      <c r="H14" s="47" t="s">
        <v>17</v>
      </c>
      <c r="I14" s="46" t="s">
        <v>73</v>
      </c>
      <c r="J14" s="40" t="s">
        <v>506</v>
      </c>
      <c r="K14" s="41" t="s">
        <v>74</v>
      </c>
      <c r="L14" s="46"/>
      <c r="M14" s="46" t="s">
        <v>22</v>
      </c>
      <c r="N14" s="46" t="s">
        <v>23</v>
      </c>
      <c r="O14" s="46" t="s">
        <v>996</v>
      </c>
    </row>
    <row r="15" spans="1:15" ht="30.75" hidden="1" customHeight="1" x14ac:dyDescent="0.25">
      <c r="A15" s="31">
        <v>1198610</v>
      </c>
      <c r="B15" s="38" t="s">
        <v>981</v>
      </c>
      <c r="C15" s="46" t="s">
        <v>1038</v>
      </c>
      <c r="D15" s="46" t="s">
        <v>1039</v>
      </c>
      <c r="E15" s="43" t="s">
        <v>1035</v>
      </c>
      <c r="F15" s="41" t="s">
        <v>1040</v>
      </c>
      <c r="G15" s="41" t="s">
        <v>1041</v>
      </c>
      <c r="H15" s="47" t="s">
        <v>17</v>
      </c>
      <c r="I15" s="46" t="s">
        <v>73</v>
      </c>
      <c r="J15" s="40" t="s">
        <v>506</v>
      </c>
      <c r="K15" s="41" t="s">
        <v>74</v>
      </c>
      <c r="L15" s="46"/>
      <c r="M15" s="46" t="s">
        <v>22</v>
      </c>
      <c r="N15" s="46" t="s">
        <v>23</v>
      </c>
      <c r="O15" s="46" t="s">
        <v>996</v>
      </c>
    </row>
    <row r="16" spans="1:15" ht="30.75" hidden="1" customHeight="1" x14ac:dyDescent="0.25">
      <c r="A16" s="31">
        <v>1198612</v>
      </c>
      <c r="B16" s="38" t="s">
        <v>981</v>
      </c>
      <c r="C16" s="46" t="s">
        <v>1042</v>
      </c>
      <c r="D16" s="46" t="s">
        <v>1043</v>
      </c>
      <c r="E16" s="43" t="s">
        <v>1035</v>
      </c>
      <c r="F16" s="41" t="s">
        <v>1044</v>
      </c>
      <c r="G16" s="41" t="s">
        <v>1045</v>
      </c>
      <c r="H16" s="47" t="s">
        <v>17</v>
      </c>
      <c r="I16" s="46" t="s">
        <v>73</v>
      </c>
      <c r="J16" s="40" t="s">
        <v>506</v>
      </c>
      <c r="K16" s="41" t="s">
        <v>74</v>
      </c>
      <c r="L16" s="46"/>
      <c r="M16" s="46" t="s">
        <v>22</v>
      </c>
      <c r="N16" s="46" t="s">
        <v>23</v>
      </c>
      <c r="O16" s="46" t="s">
        <v>996</v>
      </c>
    </row>
    <row r="17" spans="1:15" ht="68.25" hidden="1" customHeight="1" x14ac:dyDescent="0.25">
      <c r="A17" s="31">
        <v>1198613</v>
      </c>
      <c r="B17" s="38" t="s">
        <v>981</v>
      </c>
      <c r="C17" s="46" t="s">
        <v>1046</v>
      </c>
      <c r="D17" s="46" t="s">
        <v>1047</v>
      </c>
      <c r="E17" s="41" t="s">
        <v>1048</v>
      </c>
      <c r="F17" s="41" t="s">
        <v>1049</v>
      </c>
      <c r="G17" s="41" t="s">
        <v>1050</v>
      </c>
      <c r="H17" s="47" t="s">
        <v>17</v>
      </c>
      <c r="I17" s="46" t="s">
        <v>73</v>
      </c>
      <c r="J17" s="40" t="s">
        <v>506</v>
      </c>
      <c r="K17" s="41" t="s">
        <v>74</v>
      </c>
      <c r="L17" s="46"/>
      <c r="M17" s="46" t="s">
        <v>22</v>
      </c>
      <c r="N17" s="46" t="s">
        <v>23</v>
      </c>
      <c r="O17" s="46" t="s">
        <v>996</v>
      </c>
    </row>
    <row r="18" spans="1:15" ht="68.25" hidden="1" customHeight="1" x14ac:dyDescent="0.25">
      <c r="A18" s="31">
        <v>1198614</v>
      </c>
      <c r="B18" s="38" t="s">
        <v>981</v>
      </c>
      <c r="C18" s="46" t="s">
        <v>1051</v>
      </c>
      <c r="D18" s="46" t="s">
        <v>1052</v>
      </c>
      <c r="E18" s="41" t="s">
        <v>1048</v>
      </c>
      <c r="F18" s="41" t="s">
        <v>1053</v>
      </c>
      <c r="G18" s="41" t="s">
        <v>1054</v>
      </c>
      <c r="H18" s="47" t="s">
        <v>17</v>
      </c>
      <c r="I18" s="46" t="s">
        <v>73</v>
      </c>
      <c r="J18" s="40" t="s">
        <v>506</v>
      </c>
      <c r="K18" s="41" t="s">
        <v>74</v>
      </c>
      <c r="L18" s="46"/>
      <c r="M18" s="46" t="s">
        <v>22</v>
      </c>
      <c r="N18" s="46" t="s">
        <v>23</v>
      </c>
      <c r="O18" s="46" t="s">
        <v>996</v>
      </c>
    </row>
    <row r="19" spans="1:15" ht="68.25" hidden="1" customHeight="1" x14ac:dyDescent="0.25">
      <c r="A19" s="31">
        <v>1198615</v>
      </c>
      <c r="B19" s="38" t="s">
        <v>981</v>
      </c>
      <c r="C19" s="46" t="s">
        <v>1055</v>
      </c>
      <c r="D19" s="46" t="s">
        <v>1056</v>
      </c>
      <c r="E19" s="41" t="s">
        <v>1048</v>
      </c>
      <c r="F19" s="41" t="s">
        <v>1057</v>
      </c>
      <c r="G19" s="41" t="s">
        <v>1058</v>
      </c>
      <c r="H19" s="47" t="s">
        <v>17</v>
      </c>
      <c r="I19" s="46" t="s">
        <v>73</v>
      </c>
      <c r="J19" s="40" t="s">
        <v>506</v>
      </c>
      <c r="K19" s="41" t="s">
        <v>74</v>
      </c>
      <c r="L19" s="46"/>
      <c r="M19" s="46" t="s">
        <v>22</v>
      </c>
      <c r="N19" s="46" t="s">
        <v>23</v>
      </c>
      <c r="O19" s="46" t="s">
        <v>996</v>
      </c>
    </row>
    <row r="20" spans="1:15" ht="68.25" hidden="1" customHeight="1" x14ac:dyDescent="0.25">
      <c r="A20" s="31">
        <v>1198616</v>
      </c>
      <c r="B20" s="38" t="s">
        <v>981</v>
      </c>
      <c r="C20" s="46" t="s">
        <v>1059</v>
      </c>
      <c r="D20" s="46" t="s">
        <v>1060</v>
      </c>
      <c r="E20" s="41" t="s">
        <v>1048</v>
      </c>
      <c r="F20" s="41" t="s">
        <v>1061</v>
      </c>
      <c r="G20" s="41" t="s">
        <v>1062</v>
      </c>
      <c r="H20" s="47" t="s">
        <v>17</v>
      </c>
      <c r="I20" s="46" t="s">
        <v>73</v>
      </c>
      <c r="J20" s="42" t="s">
        <v>103</v>
      </c>
      <c r="K20" s="41" t="s">
        <v>74</v>
      </c>
      <c r="L20" s="46"/>
      <c r="M20" s="46" t="s">
        <v>113</v>
      </c>
      <c r="N20" s="46" t="s">
        <v>23</v>
      </c>
      <c r="O20" s="46" t="s">
        <v>996</v>
      </c>
    </row>
    <row r="21" spans="1:15" ht="68.25" hidden="1" customHeight="1" x14ac:dyDescent="0.25">
      <c r="A21" s="31">
        <v>1198617</v>
      </c>
      <c r="B21" s="38" t="s">
        <v>981</v>
      </c>
      <c r="C21" s="46" t="s">
        <v>1063</v>
      </c>
      <c r="D21" s="46" t="s">
        <v>1064</v>
      </c>
      <c r="E21" s="41" t="s">
        <v>1048</v>
      </c>
      <c r="F21" s="41" t="s">
        <v>1065</v>
      </c>
      <c r="G21" s="41" t="s">
        <v>1066</v>
      </c>
      <c r="H21" s="47" t="s">
        <v>17</v>
      </c>
      <c r="I21" s="46" t="s">
        <v>73</v>
      </c>
      <c r="J21" s="42" t="s">
        <v>103</v>
      </c>
      <c r="K21" s="41" t="s">
        <v>74</v>
      </c>
      <c r="L21" s="46"/>
      <c r="M21" s="46" t="s">
        <v>113</v>
      </c>
      <c r="N21" s="46" t="s">
        <v>23</v>
      </c>
      <c r="O21" s="46" t="s">
        <v>996</v>
      </c>
    </row>
    <row r="22" spans="1:15" ht="68.25" hidden="1" customHeight="1" x14ac:dyDescent="0.25">
      <c r="A22" s="31">
        <v>1198618</v>
      </c>
      <c r="B22" s="38" t="s">
        <v>981</v>
      </c>
      <c r="C22" s="46" t="s">
        <v>1067</v>
      </c>
      <c r="D22" s="46" t="s">
        <v>1068</v>
      </c>
      <c r="E22" s="41" t="s">
        <v>1048</v>
      </c>
      <c r="F22" s="41" t="s">
        <v>1069</v>
      </c>
      <c r="G22" s="41" t="s">
        <v>1070</v>
      </c>
      <c r="H22" s="47" t="s">
        <v>17</v>
      </c>
      <c r="I22" s="46" t="s">
        <v>73</v>
      </c>
      <c r="J22" s="42" t="s">
        <v>103</v>
      </c>
      <c r="K22" s="41" t="s">
        <v>74</v>
      </c>
      <c r="L22" s="46"/>
      <c r="M22" s="46" t="s">
        <v>113</v>
      </c>
      <c r="N22" s="46" t="s">
        <v>23</v>
      </c>
      <c r="O22" s="46" t="s">
        <v>996</v>
      </c>
    </row>
    <row r="23" spans="1:15" ht="68.25" hidden="1" customHeight="1" x14ac:dyDescent="0.25">
      <c r="A23" s="31">
        <v>1198619</v>
      </c>
      <c r="B23" s="38" t="s">
        <v>981</v>
      </c>
      <c r="C23" s="46" t="s">
        <v>1071</v>
      </c>
      <c r="D23" s="46" t="s">
        <v>1072</v>
      </c>
      <c r="E23" s="41" t="s">
        <v>1048</v>
      </c>
      <c r="F23" s="41" t="s">
        <v>1073</v>
      </c>
      <c r="G23" s="41" t="s">
        <v>1066</v>
      </c>
      <c r="H23" s="47" t="s">
        <v>17</v>
      </c>
      <c r="I23" s="46" t="s">
        <v>73</v>
      </c>
      <c r="J23" s="42" t="s">
        <v>103</v>
      </c>
      <c r="K23" s="41" t="s">
        <v>74</v>
      </c>
      <c r="L23" s="46"/>
      <c r="M23" s="46" t="s">
        <v>113</v>
      </c>
      <c r="N23" s="46" t="s">
        <v>23</v>
      </c>
      <c r="O23" s="46" t="s">
        <v>996</v>
      </c>
    </row>
    <row r="24" spans="1:15" ht="68.25" hidden="1" customHeight="1" x14ac:dyDescent="0.25">
      <c r="A24" s="31">
        <v>1198620</v>
      </c>
      <c r="B24" s="38" t="s">
        <v>981</v>
      </c>
      <c r="C24" s="46" t="s">
        <v>1074</v>
      </c>
      <c r="D24" s="46" t="s">
        <v>1075</v>
      </c>
      <c r="E24" s="41" t="s">
        <v>1048</v>
      </c>
      <c r="F24" s="41" t="s">
        <v>1076</v>
      </c>
      <c r="G24" s="41" t="s">
        <v>1070</v>
      </c>
      <c r="H24" s="47" t="s">
        <v>17</v>
      </c>
      <c r="I24" s="46" t="s">
        <v>73</v>
      </c>
      <c r="J24" s="42" t="s">
        <v>103</v>
      </c>
      <c r="K24" s="41" t="s">
        <v>74</v>
      </c>
      <c r="L24" s="46"/>
      <c r="M24" s="46" t="s">
        <v>113</v>
      </c>
      <c r="N24" s="46" t="s">
        <v>23</v>
      </c>
      <c r="O24" s="46" t="s">
        <v>996</v>
      </c>
    </row>
    <row r="25" spans="1:15" ht="109.5" hidden="1" customHeight="1" x14ac:dyDescent="0.25">
      <c r="A25" s="31">
        <v>1198621</v>
      </c>
      <c r="B25" s="38" t="s">
        <v>981</v>
      </c>
      <c r="C25" s="46" t="s">
        <v>1077</v>
      </c>
      <c r="D25" s="46" t="s">
        <v>1078</v>
      </c>
      <c r="E25" s="41" t="s">
        <v>1048</v>
      </c>
      <c r="F25" s="41" t="s">
        <v>1079</v>
      </c>
      <c r="G25" s="41" t="s">
        <v>1080</v>
      </c>
      <c r="H25" s="47" t="s">
        <v>17</v>
      </c>
      <c r="I25" s="46" t="s">
        <v>73</v>
      </c>
      <c r="J25" s="42" t="s">
        <v>103</v>
      </c>
      <c r="K25" s="41" t="s">
        <v>74</v>
      </c>
      <c r="L25" s="46"/>
      <c r="M25" s="46" t="s">
        <v>113</v>
      </c>
      <c r="N25" s="46" t="s">
        <v>23</v>
      </c>
      <c r="O25" s="46" t="s">
        <v>996</v>
      </c>
    </row>
    <row r="26" spans="1:15" ht="109.5" hidden="1" customHeight="1" x14ac:dyDescent="0.25">
      <c r="A26" s="31">
        <v>1198622</v>
      </c>
      <c r="B26" s="38" t="s">
        <v>981</v>
      </c>
      <c r="C26" s="46" t="s">
        <v>1081</v>
      </c>
      <c r="D26" s="46" t="s">
        <v>1082</v>
      </c>
      <c r="E26" s="41" t="s">
        <v>1048</v>
      </c>
      <c r="F26" s="41" t="s">
        <v>1083</v>
      </c>
      <c r="G26" s="41" t="s">
        <v>1080</v>
      </c>
      <c r="H26" s="47" t="s">
        <v>17</v>
      </c>
      <c r="I26" s="46" t="s">
        <v>73</v>
      </c>
      <c r="J26" s="42" t="s">
        <v>103</v>
      </c>
      <c r="K26" s="41" t="s">
        <v>74</v>
      </c>
      <c r="L26" s="46"/>
      <c r="M26" s="46" t="s">
        <v>113</v>
      </c>
      <c r="N26" s="46" t="s">
        <v>23</v>
      </c>
      <c r="O26" s="46" t="s">
        <v>996</v>
      </c>
    </row>
    <row r="27" spans="1:15" ht="150.75" hidden="1" customHeight="1" x14ac:dyDescent="0.25">
      <c r="A27" s="31">
        <v>1198623</v>
      </c>
      <c r="B27" s="38" t="s">
        <v>981</v>
      </c>
      <c r="C27" s="46" t="s">
        <v>1084</v>
      </c>
      <c r="D27" s="46" t="s">
        <v>1085</v>
      </c>
      <c r="E27" s="41" t="s">
        <v>1048</v>
      </c>
      <c r="F27" s="41" t="s">
        <v>1086</v>
      </c>
      <c r="G27" s="41" t="s">
        <v>1080</v>
      </c>
      <c r="H27" s="47" t="s">
        <v>17</v>
      </c>
      <c r="I27" s="46" t="s">
        <v>73</v>
      </c>
      <c r="J27" s="42" t="s">
        <v>103</v>
      </c>
      <c r="K27" s="41" t="s">
        <v>74</v>
      </c>
      <c r="L27" s="46"/>
      <c r="M27" s="46" t="s">
        <v>113</v>
      </c>
      <c r="N27" s="46" t="s">
        <v>23</v>
      </c>
      <c r="O27" s="46" t="s">
        <v>996</v>
      </c>
    </row>
    <row r="28" spans="1:15" ht="150.75" hidden="1" customHeight="1" x14ac:dyDescent="0.25">
      <c r="A28" s="31">
        <v>1198624</v>
      </c>
      <c r="B28" s="38" t="s">
        <v>981</v>
      </c>
      <c r="C28" s="46" t="s">
        <v>1087</v>
      </c>
      <c r="D28" s="46" t="s">
        <v>1088</v>
      </c>
      <c r="E28" s="41" t="s">
        <v>1048</v>
      </c>
      <c r="F28" s="41" t="s">
        <v>1089</v>
      </c>
      <c r="G28" s="41" t="s">
        <v>1080</v>
      </c>
      <c r="H28" s="47" t="s">
        <v>17</v>
      </c>
      <c r="I28" s="46" t="s">
        <v>73</v>
      </c>
      <c r="J28" s="42" t="s">
        <v>103</v>
      </c>
      <c r="K28" s="41" t="s">
        <v>74</v>
      </c>
      <c r="L28" s="46"/>
      <c r="M28" s="46" t="s">
        <v>113</v>
      </c>
      <c r="N28" s="46" t="s">
        <v>23</v>
      </c>
      <c r="O28" s="46" t="s">
        <v>996</v>
      </c>
    </row>
    <row r="29" spans="1:15" ht="109.5" hidden="1" customHeight="1" x14ac:dyDescent="0.25">
      <c r="A29" s="31">
        <v>1198625</v>
      </c>
      <c r="B29" s="38" t="s">
        <v>981</v>
      </c>
      <c r="C29" s="46" t="s">
        <v>1090</v>
      </c>
      <c r="D29" s="46" t="s">
        <v>1091</v>
      </c>
      <c r="E29" s="41" t="s">
        <v>1048</v>
      </c>
      <c r="F29" s="41" t="s">
        <v>1092</v>
      </c>
      <c r="G29" s="41" t="s">
        <v>1080</v>
      </c>
      <c r="H29" s="47" t="s">
        <v>17</v>
      </c>
      <c r="I29" s="46" t="s">
        <v>73</v>
      </c>
      <c r="J29" s="42" t="s">
        <v>103</v>
      </c>
      <c r="K29" s="41" t="s">
        <v>74</v>
      </c>
      <c r="L29" s="46"/>
      <c r="M29" s="46" t="s">
        <v>113</v>
      </c>
      <c r="N29" s="46" t="s">
        <v>23</v>
      </c>
      <c r="O29" s="46" t="s">
        <v>996</v>
      </c>
    </row>
    <row r="30" spans="1:15" ht="109.5" hidden="1" customHeight="1" x14ac:dyDescent="0.25">
      <c r="A30" s="31">
        <v>1198626</v>
      </c>
      <c r="B30" s="38" t="s">
        <v>981</v>
      </c>
      <c r="C30" s="46" t="s">
        <v>1093</v>
      </c>
      <c r="D30" s="46" t="s">
        <v>1094</v>
      </c>
      <c r="E30" s="41" t="s">
        <v>1048</v>
      </c>
      <c r="F30" s="41" t="s">
        <v>1095</v>
      </c>
      <c r="G30" s="41" t="s">
        <v>1080</v>
      </c>
      <c r="H30" s="47" t="s">
        <v>17</v>
      </c>
      <c r="I30" s="46" t="s">
        <v>73</v>
      </c>
      <c r="J30" s="42" t="s">
        <v>103</v>
      </c>
      <c r="K30" s="41" t="s">
        <v>74</v>
      </c>
      <c r="L30" s="46"/>
      <c r="M30" s="46" t="s">
        <v>113</v>
      </c>
      <c r="N30" s="46" t="s">
        <v>23</v>
      </c>
      <c r="O30" s="46" t="s">
        <v>996</v>
      </c>
    </row>
    <row r="31" spans="1:15" ht="109.5" hidden="1" customHeight="1" x14ac:dyDescent="0.25">
      <c r="A31" s="31">
        <v>1198627</v>
      </c>
      <c r="B31" s="38" t="s">
        <v>981</v>
      </c>
      <c r="C31" s="46" t="s">
        <v>1096</v>
      </c>
      <c r="D31" s="46" t="s">
        <v>1097</v>
      </c>
      <c r="E31" s="41" t="s">
        <v>1048</v>
      </c>
      <c r="F31" s="41" t="s">
        <v>1098</v>
      </c>
      <c r="G31" s="41" t="s">
        <v>1080</v>
      </c>
      <c r="H31" s="47" t="s">
        <v>17</v>
      </c>
      <c r="I31" s="46" t="s">
        <v>73</v>
      </c>
      <c r="J31" s="42" t="s">
        <v>103</v>
      </c>
      <c r="K31" s="41" t="s">
        <v>74</v>
      </c>
      <c r="L31" s="46"/>
      <c r="M31" s="46" t="s">
        <v>113</v>
      </c>
      <c r="N31" s="46" t="s">
        <v>23</v>
      </c>
      <c r="O31" s="46" t="s">
        <v>996</v>
      </c>
    </row>
    <row r="32" spans="1:15" ht="109.5" hidden="1" customHeight="1" x14ac:dyDescent="0.25">
      <c r="A32" s="31">
        <v>1198629</v>
      </c>
      <c r="B32" s="38" t="s">
        <v>981</v>
      </c>
      <c r="C32" s="46" t="s">
        <v>1099</v>
      </c>
      <c r="D32" s="46" t="s">
        <v>1100</v>
      </c>
      <c r="E32" s="41" t="s">
        <v>1048</v>
      </c>
      <c r="F32" s="41" t="s">
        <v>1101</v>
      </c>
      <c r="G32" s="41" t="s">
        <v>1080</v>
      </c>
      <c r="H32" s="47" t="s">
        <v>17</v>
      </c>
      <c r="I32" s="46" t="s">
        <v>73</v>
      </c>
      <c r="J32" s="42" t="s">
        <v>103</v>
      </c>
      <c r="K32" s="41" t="s">
        <v>74</v>
      </c>
      <c r="L32" s="46"/>
      <c r="M32" s="46" t="s">
        <v>113</v>
      </c>
      <c r="N32" s="46" t="s">
        <v>23</v>
      </c>
      <c r="O32" s="46" t="s">
        <v>996</v>
      </c>
    </row>
    <row r="33" spans="1:15" ht="109.5" hidden="1" customHeight="1" x14ac:dyDescent="0.25">
      <c r="A33" s="31">
        <v>1198630</v>
      </c>
      <c r="B33" s="38" t="s">
        <v>981</v>
      </c>
      <c r="C33" s="46" t="s">
        <v>1102</v>
      </c>
      <c r="D33" s="46" t="s">
        <v>1103</v>
      </c>
      <c r="E33" s="41" t="s">
        <v>1048</v>
      </c>
      <c r="F33" s="41" t="s">
        <v>1104</v>
      </c>
      <c r="G33" s="41" t="s">
        <v>1080</v>
      </c>
      <c r="H33" s="47" t="s">
        <v>17</v>
      </c>
      <c r="I33" s="46" t="s">
        <v>73</v>
      </c>
      <c r="J33" s="42" t="s">
        <v>103</v>
      </c>
      <c r="K33" s="41" t="s">
        <v>74</v>
      </c>
      <c r="L33" s="46"/>
      <c r="M33" s="46" t="s">
        <v>113</v>
      </c>
      <c r="N33" s="46" t="s">
        <v>23</v>
      </c>
      <c r="O33" s="46" t="s">
        <v>996</v>
      </c>
    </row>
    <row r="34" spans="1:15" ht="150.75" hidden="1" customHeight="1" x14ac:dyDescent="0.25">
      <c r="A34" s="31">
        <v>1198631</v>
      </c>
      <c r="B34" s="38" t="s">
        <v>981</v>
      </c>
      <c r="C34" s="46" t="s">
        <v>1105</v>
      </c>
      <c r="D34" s="46" t="s">
        <v>1106</v>
      </c>
      <c r="E34" s="41" t="s">
        <v>1048</v>
      </c>
      <c r="F34" s="41" t="s">
        <v>1107</v>
      </c>
      <c r="G34" s="41" t="s">
        <v>1080</v>
      </c>
      <c r="H34" s="47" t="s">
        <v>17</v>
      </c>
      <c r="I34" s="46" t="s">
        <v>73</v>
      </c>
      <c r="J34" s="42" t="s">
        <v>103</v>
      </c>
      <c r="K34" s="41" t="s">
        <v>74</v>
      </c>
      <c r="L34" s="46"/>
      <c r="M34" s="46" t="s">
        <v>113</v>
      </c>
      <c r="N34" s="46" t="s">
        <v>23</v>
      </c>
      <c r="O34" s="46" t="s">
        <v>996</v>
      </c>
    </row>
    <row r="35" spans="1:15" ht="150.75" hidden="1" customHeight="1" x14ac:dyDescent="0.25">
      <c r="A35" s="31">
        <v>1198632</v>
      </c>
      <c r="B35" s="38" t="s">
        <v>981</v>
      </c>
      <c r="C35" s="46" t="s">
        <v>1108</v>
      </c>
      <c r="D35" s="46" t="s">
        <v>1109</v>
      </c>
      <c r="E35" s="41" t="s">
        <v>1048</v>
      </c>
      <c r="F35" s="41" t="s">
        <v>1110</v>
      </c>
      <c r="G35" s="41" t="s">
        <v>1080</v>
      </c>
      <c r="H35" s="47" t="s">
        <v>17</v>
      </c>
      <c r="I35" s="46" t="s">
        <v>73</v>
      </c>
      <c r="J35" s="42" t="s">
        <v>103</v>
      </c>
      <c r="K35" s="41" t="s">
        <v>74</v>
      </c>
      <c r="L35" s="46"/>
      <c r="M35" s="46" t="s">
        <v>113</v>
      </c>
      <c r="N35" s="46" t="s">
        <v>23</v>
      </c>
      <c r="O35" s="46" t="s">
        <v>996</v>
      </c>
    </row>
    <row r="36" spans="1:15" ht="109.5" hidden="1" customHeight="1" x14ac:dyDescent="0.25">
      <c r="A36" s="31">
        <v>1198634</v>
      </c>
      <c r="B36" s="38" t="s">
        <v>981</v>
      </c>
      <c r="C36" s="46" t="s">
        <v>1111</v>
      </c>
      <c r="D36" s="46" t="s">
        <v>1112</v>
      </c>
      <c r="E36" s="41" t="s">
        <v>1048</v>
      </c>
      <c r="F36" s="41" t="s">
        <v>1113</v>
      </c>
      <c r="G36" s="41" t="s">
        <v>1080</v>
      </c>
      <c r="H36" s="47" t="s">
        <v>17</v>
      </c>
      <c r="I36" s="46" t="s">
        <v>73</v>
      </c>
      <c r="J36" s="42" t="s">
        <v>103</v>
      </c>
      <c r="K36" s="41" t="s">
        <v>74</v>
      </c>
      <c r="L36" s="46"/>
      <c r="M36" s="46" t="s">
        <v>113</v>
      </c>
      <c r="N36" s="46" t="s">
        <v>23</v>
      </c>
      <c r="O36" s="46" t="s">
        <v>996</v>
      </c>
    </row>
    <row r="37" spans="1:15" ht="109.5" hidden="1" customHeight="1" x14ac:dyDescent="0.25">
      <c r="A37" s="31">
        <v>1198635</v>
      </c>
      <c r="B37" s="38" t="s">
        <v>981</v>
      </c>
      <c r="C37" s="46" t="s">
        <v>1114</v>
      </c>
      <c r="D37" s="46" t="s">
        <v>1115</v>
      </c>
      <c r="E37" s="41" t="s">
        <v>1048</v>
      </c>
      <c r="F37" s="41" t="s">
        <v>1116</v>
      </c>
      <c r="G37" s="41" t="s">
        <v>1080</v>
      </c>
      <c r="H37" s="47" t="s">
        <v>17</v>
      </c>
      <c r="I37" s="46" t="s">
        <v>73</v>
      </c>
      <c r="J37" s="42" t="s">
        <v>103</v>
      </c>
      <c r="K37" s="41" t="s">
        <v>74</v>
      </c>
      <c r="L37" s="46"/>
      <c r="M37" s="46" t="s">
        <v>113</v>
      </c>
      <c r="N37" s="46" t="s">
        <v>23</v>
      </c>
      <c r="O37" s="46" t="s">
        <v>996</v>
      </c>
    </row>
    <row r="38" spans="1:15" ht="109.5" hidden="1" customHeight="1" x14ac:dyDescent="0.25">
      <c r="A38" s="31">
        <v>1198636</v>
      </c>
      <c r="B38" s="38" t="s">
        <v>981</v>
      </c>
      <c r="C38" s="46" t="s">
        <v>1117</v>
      </c>
      <c r="D38" s="46" t="s">
        <v>1118</v>
      </c>
      <c r="E38" s="41" t="s">
        <v>1048</v>
      </c>
      <c r="F38" s="41" t="s">
        <v>1119</v>
      </c>
      <c r="G38" s="41" t="s">
        <v>1080</v>
      </c>
      <c r="H38" s="47" t="s">
        <v>17</v>
      </c>
      <c r="I38" s="46" t="s">
        <v>73</v>
      </c>
      <c r="J38" s="42" t="s">
        <v>103</v>
      </c>
      <c r="K38" s="41" t="s">
        <v>74</v>
      </c>
      <c r="L38" s="46"/>
      <c r="M38" s="46" t="s">
        <v>113</v>
      </c>
      <c r="N38" s="46" t="s">
        <v>23</v>
      </c>
      <c r="O38" s="46" t="s">
        <v>996</v>
      </c>
    </row>
    <row r="39" spans="1:15" ht="109.5" hidden="1" customHeight="1" x14ac:dyDescent="0.25">
      <c r="A39" s="31">
        <v>1198637</v>
      </c>
      <c r="B39" s="38" t="s">
        <v>981</v>
      </c>
      <c r="C39" s="46" t="s">
        <v>1120</v>
      </c>
      <c r="D39" s="46" t="s">
        <v>1121</v>
      </c>
      <c r="E39" s="41" t="s">
        <v>1048</v>
      </c>
      <c r="F39" s="41" t="s">
        <v>1122</v>
      </c>
      <c r="G39" s="41" t="s">
        <v>1080</v>
      </c>
      <c r="H39" s="47" t="s">
        <v>17</v>
      </c>
      <c r="I39" s="46" t="s">
        <v>73</v>
      </c>
      <c r="J39" s="42" t="s">
        <v>103</v>
      </c>
      <c r="K39" s="41" t="s">
        <v>74</v>
      </c>
      <c r="L39" s="46"/>
      <c r="M39" s="46" t="s">
        <v>113</v>
      </c>
      <c r="N39" s="46" t="s">
        <v>23</v>
      </c>
      <c r="O39" s="46" t="s">
        <v>996</v>
      </c>
    </row>
    <row r="40" spans="1:15" ht="150.75" hidden="1" customHeight="1" x14ac:dyDescent="0.25">
      <c r="A40" s="31">
        <v>1198638</v>
      </c>
      <c r="B40" s="38" t="s">
        <v>981</v>
      </c>
      <c r="C40" s="46" t="s">
        <v>1123</v>
      </c>
      <c r="D40" s="46" t="s">
        <v>1124</v>
      </c>
      <c r="E40" s="41" t="s">
        <v>1048</v>
      </c>
      <c r="F40" s="41" t="s">
        <v>1125</v>
      </c>
      <c r="G40" s="41" t="s">
        <v>1080</v>
      </c>
      <c r="H40" s="47" t="s">
        <v>17</v>
      </c>
      <c r="I40" s="46" t="s">
        <v>73</v>
      </c>
      <c r="J40" s="42" t="s">
        <v>103</v>
      </c>
      <c r="K40" s="41" t="s">
        <v>74</v>
      </c>
      <c r="L40" s="46"/>
      <c r="M40" s="46" t="s">
        <v>113</v>
      </c>
      <c r="N40" s="46" t="s">
        <v>23</v>
      </c>
      <c r="O40" s="46" t="s">
        <v>996</v>
      </c>
    </row>
    <row r="41" spans="1:15" ht="109.5" hidden="1" customHeight="1" x14ac:dyDescent="0.25">
      <c r="A41" s="31">
        <v>1198639</v>
      </c>
      <c r="B41" s="38" t="s">
        <v>981</v>
      </c>
      <c r="C41" s="46" t="s">
        <v>1126</v>
      </c>
      <c r="D41" s="46" t="s">
        <v>1127</v>
      </c>
      <c r="E41" s="41" t="s">
        <v>1048</v>
      </c>
      <c r="F41" s="41" t="s">
        <v>1128</v>
      </c>
      <c r="G41" s="41" t="s">
        <v>1080</v>
      </c>
      <c r="H41" s="47" t="s">
        <v>17</v>
      </c>
      <c r="I41" s="46" t="s">
        <v>73</v>
      </c>
      <c r="J41" s="42" t="s">
        <v>103</v>
      </c>
      <c r="K41" s="41" t="s">
        <v>74</v>
      </c>
      <c r="L41" s="46"/>
      <c r="M41" s="46" t="s">
        <v>113</v>
      </c>
      <c r="N41" s="46" t="s">
        <v>23</v>
      </c>
      <c r="O41" s="46" t="s">
        <v>996</v>
      </c>
    </row>
    <row r="42" spans="1:15" ht="109.5" hidden="1" customHeight="1" x14ac:dyDescent="0.25">
      <c r="A42" s="31">
        <v>1198640</v>
      </c>
      <c r="B42" s="38" t="s">
        <v>981</v>
      </c>
      <c r="C42" s="46" t="s">
        <v>1129</v>
      </c>
      <c r="D42" s="46" t="s">
        <v>1130</v>
      </c>
      <c r="E42" s="41" t="s">
        <v>1048</v>
      </c>
      <c r="F42" s="41" t="s">
        <v>1131</v>
      </c>
      <c r="G42" s="41" t="s">
        <v>1080</v>
      </c>
      <c r="H42" s="47" t="s">
        <v>17</v>
      </c>
      <c r="I42" s="46" t="s">
        <v>73</v>
      </c>
      <c r="J42" s="42" t="s">
        <v>103</v>
      </c>
      <c r="K42" s="41" t="s">
        <v>74</v>
      </c>
      <c r="L42" s="46"/>
      <c r="M42" s="46" t="s">
        <v>113</v>
      </c>
      <c r="N42" s="46" t="s">
        <v>23</v>
      </c>
      <c r="O42" s="46" t="s">
        <v>996</v>
      </c>
    </row>
    <row r="43" spans="1:15" ht="150.75" hidden="1" customHeight="1" x14ac:dyDescent="0.25">
      <c r="A43" s="31">
        <v>1198641</v>
      </c>
      <c r="B43" s="38" t="s">
        <v>981</v>
      </c>
      <c r="C43" s="46" t="s">
        <v>1132</v>
      </c>
      <c r="D43" s="46" t="s">
        <v>1133</v>
      </c>
      <c r="E43" s="41" t="s">
        <v>1048</v>
      </c>
      <c r="F43" s="41" t="s">
        <v>1134</v>
      </c>
      <c r="G43" s="41" t="s">
        <v>1080</v>
      </c>
      <c r="H43" s="47" t="s">
        <v>17</v>
      </c>
      <c r="I43" s="46" t="s">
        <v>73</v>
      </c>
      <c r="J43" s="42" t="s">
        <v>103</v>
      </c>
      <c r="K43" s="41" t="s">
        <v>74</v>
      </c>
      <c r="L43" s="46"/>
      <c r="M43" s="46" t="s">
        <v>113</v>
      </c>
      <c r="N43" s="46" t="s">
        <v>23</v>
      </c>
      <c r="O43" s="46" t="s">
        <v>996</v>
      </c>
    </row>
    <row r="44" spans="1:15" ht="82.5" customHeight="1" x14ac:dyDescent="0.25">
      <c r="A44" s="31">
        <v>1198642</v>
      </c>
      <c r="B44" s="38" t="s">
        <v>981</v>
      </c>
      <c r="C44" s="46" t="s">
        <v>1135</v>
      </c>
      <c r="D44" s="46" t="s">
        <v>1136</v>
      </c>
      <c r="E44" s="41" t="s">
        <v>1137</v>
      </c>
      <c r="F44" s="41" t="s">
        <v>1138</v>
      </c>
      <c r="G44" s="41" t="s">
        <v>1139</v>
      </c>
      <c r="H44" s="47" t="s">
        <v>17</v>
      </c>
      <c r="I44" s="46" t="s">
        <v>73</v>
      </c>
      <c r="J44" s="42" t="s">
        <v>103</v>
      </c>
      <c r="K44" s="41" t="s">
        <v>74</v>
      </c>
      <c r="L44" s="46"/>
      <c r="M44" s="46" t="s">
        <v>113</v>
      </c>
      <c r="N44" s="46" t="s">
        <v>23</v>
      </c>
      <c r="O44" s="46" t="s">
        <v>996</v>
      </c>
    </row>
    <row r="45" spans="1:15" ht="82.5" hidden="1" customHeight="1" x14ac:dyDescent="0.25">
      <c r="A45" s="31">
        <v>1198643</v>
      </c>
      <c r="B45" s="38" t="s">
        <v>981</v>
      </c>
      <c r="C45" s="46" t="s">
        <v>1140</v>
      </c>
      <c r="D45" s="46" t="s">
        <v>1141</v>
      </c>
      <c r="E45" s="41" t="s">
        <v>1142</v>
      </c>
      <c r="F45" s="41" t="s">
        <v>1138</v>
      </c>
      <c r="G45" s="41" t="s">
        <v>1139</v>
      </c>
      <c r="H45" s="47" t="s">
        <v>17</v>
      </c>
      <c r="I45" s="46" t="s">
        <v>73</v>
      </c>
      <c r="J45" s="42" t="s">
        <v>103</v>
      </c>
      <c r="K45" s="41" t="s">
        <v>74</v>
      </c>
      <c r="L45" s="46"/>
      <c r="M45" s="46" t="s">
        <v>113</v>
      </c>
      <c r="N45" s="46" t="s">
        <v>23</v>
      </c>
      <c r="O45" s="46" t="s">
        <v>996</v>
      </c>
    </row>
    <row r="46" spans="1:15" ht="82.5" hidden="1" customHeight="1" x14ac:dyDescent="0.25">
      <c r="A46" s="31">
        <v>1198644</v>
      </c>
      <c r="B46" s="38" t="s">
        <v>981</v>
      </c>
      <c r="C46" s="46" t="s">
        <v>1143</v>
      </c>
      <c r="D46" s="46" t="s">
        <v>1144</v>
      </c>
      <c r="E46" s="41" t="s">
        <v>1145</v>
      </c>
      <c r="F46" s="41" t="s">
        <v>1138</v>
      </c>
      <c r="G46" s="41" t="s">
        <v>1139</v>
      </c>
      <c r="H46" s="47" t="s">
        <v>17</v>
      </c>
      <c r="I46" s="46" t="s">
        <v>73</v>
      </c>
      <c r="J46" s="42" t="s">
        <v>103</v>
      </c>
      <c r="K46" s="41" t="s">
        <v>74</v>
      </c>
      <c r="L46" s="46"/>
      <c r="M46" s="46" t="s">
        <v>113</v>
      </c>
      <c r="N46" s="46" t="s">
        <v>23</v>
      </c>
      <c r="O46" s="46" t="s">
        <v>996</v>
      </c>
    </row>
    <row r="47" spans="1:15" ht="82.5" hidden="1" customHeight="1" x14ac:dyDescent="0.25">
      <c r="A47" s="31">
        <v>1198645</v>
      </c>
      <c r="B47" s="38" t="s">
        <v>981</v>
      </c>
      <c r="C47" s="46" t="s">
        <v>1146</v>
      </c>
      <c r="D47" s="46" t="s">
        <v>1147</v>
      </c>
      <c r="E47" s="41" t="s">
        <v>1148</v>
      </c>
      <c r="F47" s="41" t="s">
        <v>1138</v>
      </c>
      <c r="G47" s="41" t="s">
        <v>1139</v>
      </c>
      <c r="H47" s="47" t="s">
        <v>17</v>
      </c>
      <c r="I47" s="46" t="s">
        <v>73</v>
      </c>
      <c r="J47" s="42" t="s">
        <v>103</v>
      </c>
      <c r="K47" s="41" t="s">
        <v>74</v>
      </c>
      <c r="L47" s="46"/>
      <c r="M47" s="46" t="s">
        <v>113</v>
      </c>
      <c r="N47" s="46" t="s">
        <v>23</v>
      </c>
      <c r="O47" s="46" t="s">
        <v>996</v>
      </c>
    </row>
    <row r="48" spans="1:15" ht="82.5" hidden="1" customHeight="1" x14ac:dyDescent="0.25">
      <c r="A48" s="31">
        <v>1198646</v>
      </c>
      <c r="B48" s="38" t="s">
        <v>981</v>
      </c>
      <c r="C48" s="46" t="s">
        <v>1149</v>
      </c>
      <c r="D48" s="46" t="s">
        <v>1150</v>
      </c>
      <c r="E48" s="41" t="s">
        <v>1151</v>
      </c>
      <c r="F48" s="41" t="s">
        <v>1138</v>
      </c>
      <c r="G48" s="41" t="s">
        <v>1139</v>
      </c>
      <c r="H48" s="47" t="s">
        <v>17</v>
      </c>
      <c r="I48" s="46" t="s">
        <v>73</v>
      </c>
      <c r="J48" s="42" t="s">
        <v>103</v>
      </c>
      <c r="K48" s="41" t="s">
        <v>74</v>
      </c>
      <c r="L48" s="46"/>
      <c r="M48" s="46" t="s">
        <v>113</v>
      </c>
      <c r="N48" s="46" t="s">
        <v>23</v>
      </c>
      <c r="O48" s="46" t="s">
        <v>996</v>
      </c>
    </row>
    <row r="49" spans="1:15" ht="82.5" hidden="1" customHeight="1" x14ac:dyDescent="0.25">
      <c r="A49" s="31">
        <v>1198648</v>
      </c>
      <c r="B49" s="38" t="s">
        <v>981</v>
      </c>
      <c r="C49" s="46" t="s">
        <v>1152</v>
      </c>
      <c r="D49" s="46" t="s">
        <v>1153</v>
      </c>
      <c r="E49" s="41" t="s">
        <v>1154</v>
      </c>
      <c r="F49" s="41" t="s">
        <v>1138</v>
      </c>
      <c r="G49" s="41" t="s">
        <v>1139</v>
      </c>
      <c r="H49" s="47" t="s">
        <v>17</v>
      </c>
      <c r="I49" s="46" t="s">
        <v>73</v>
      </c>
      <c r="J49" s="42" t="s">
        <v>103</v>
      </c>
      <c r="K49" s="41" t="s">
        <v>74</v>
      </c>
      <c r="L49" s="46"/>
      <c r="M49" s="46" t="s">
        <v>113</v>
      </c>
      <c r="N49" s="46" t="s">
        <v>23</v>
      </c>
      <c r="O49" s="46" t="s">
        <v>996</v>
      </c>
    </row>
    <row r="50" spans="1:15" ht="82.5" hidden="1" customHeight="1" x14ac:dyDescent="0.25">
      <c r="A50" s="31">
        <v>1198649</v>
      </c>
      <c r="B50" s="38" t="s">
        <v>981</v>
      </c>
      <c r="C50" s="46" t="s">
        <v>1155</v>
      </c>
      <c r="D50" s="46" t="s">
        <v>1156</v>
      </c>
      <c r="E50" s="41" t="s">
        <v>1157</v>
      </c>
      <c r="F50" s="41" t="s">
        <v>1138</v>
      </c>
      <c r="G50" s="41" t="s">
        <v>1139</v>
      </c>
      <c r="H50" s="47" t="s">
        <v>17</v>
      </c>
      <c r="I50" s="46" t="s">
        <v>73</v>
      </c>
      <c r="J50" s="42" t="s">
        <v>103</v>
      </c>
      <c r="K50" s="41" t="s">
        <v>74</v>
      </c>
      <c r="L50" s="46"/>
      <c r="M50" s="46" t="s">
        <v>113</v>
      </c>
      <c r="N50" s="46" t="s">
        <v>23</v>
      </c>
      <c r="O50" s="46" t="s">
        <v>996</v>
      </c>
    </row>
    <row r="51" spans="1:15" ht="82.5" hidden="1" customHeight="1" x14ac:dyDescent="0.25">
      <c r="A51" s="31">
        <v>1198650</v>
      </c>
      <c r="B51" s="38" t="s">
        <v>981</v>
      </c>
      <c r="C51" s="46" t="s">
        <v>1158</v>
      </c>
      <c r="D51" s="46" t="s">
        <v>1159</v>
      </c>
      <c r="E51" s="41" t="s">
        <v>1160</v>
      </c>
      <c r="F51" s="41" t="s">
        <v>1138</v>
      </c>
      <c r="G51" s="41" t="s">
        <v>1139</v>
      </c>
      <c r="H51" s="47" t="s">
        <v>17</v>
      </c>
      <c r="I51" s="46" t="s">
        <v>73</v>
      </c>
      <c r="J51" s="42" t="s">
        <v>103</v>
      </c>
      <c r="K51" s="41" t="s">
        <v>74</v>
      </c>
      <c r="L51" s="46"/>
      <c r="M51" s="46" t="s">
        <v>113</v>
      </c>
      <c r="N51" s="46" t="s">
        <v>23</v>
      </c>
      <c r="O51" s="46" t="s">
        <v>996</v>
      </c>
    </row>
    <row r="52" spans="1:15" ht="96" hidden="1" customHeight="1" x14ac:dyDescent="0.25">
      <c r="A52" s="31">
        <v>1198652</v>
      </c>
      <c r="B52" s="38" t="s">
        <v>981</v>
      </c>
      <c r="C52" s="46" t="s">
        <v>1161</v>
      </c>
      <c r="D52" s="46" t="s">
        <v>1162</v>
      </c>
      <c r="E52" s="41" t="s">
        <v>1163</v>
      </c>
      <c r="F52" s="41" t="s">
        <v>1138</v>
      </c>
      <c r="G52" s="41" t="s">
        <v>1139</v>
      </c>
      <c r="H52" s="47" t="s">
        <v>17</v>
      </c>
      <c r="I52" s="46" t="s">
        <v>73</v>
      </c>
      <c r="J52" s="42" t="s">
        <v>103</v>
      </c>
      <c r="K52" s="41" t="s">
        <v>74</v>
      </c>
      <c r="L52" s="46"/>
      <c r="M52" s="46" t="s">
        <v>113</v>
      </c>
      <c r="N52" s="46" t="s">
        <v>23</v>
      </c>
      <c r="O52" s="46" t="s">
        <v>996</v>
      </c>
    </row>
    <row r="53" spans="1:15" ht="96" hidden="1" customHeight="1" x14ac:dyDescent="0.25">
      <c r="A53" s="31">
        <v>1198653</v>
      </c>
      <c r="B53" s="38" t="s">
        <v>981</v>
      </c>
      <c r="C53" s="46" t="s">
        <v>1164</v>
      </c>
      <c r="D53" s="46" t="s">
        <v>1165</v>
      </c>
      <c r="E53" s="41" t="s">
        <v>1166</v>
      </c>
      <c r="F53" s="41" t="s">
        <v>1138</v>
      </c>
      <c r="G53" s="41" t="s">
        <v>1139</v>
      </c>
      <c r="H53" s="47" t="s">
        <v>17</v>
      </c>
      <c r="I53" s="46" t="s">
        <v>73</v>
      </c>
      <c r="J53" s="42" t="s">
        <v>103</v>
      </c>
      <c r="K53" s="41" t="s">
        <v>74</v>
      </c>
      <c r="L53" s="46"/>
      <c r="M53" s="46" t="s">
        <v>113</v>
      </c>
      <c r="N53" s="46" t="s">
        <v>23</v>
      </c>
      <c r="O53" s="46" t="s">
        <v>996</v>
      </c>
    </row>
    <row r="54" spans="1:15" ht="96" hidden="1" customHeight="1" x14ac:dyDescent="0.25">
      <c r="A54" s="31">
        <v>1198655</v>
      </c>
      <c r="B54" s="38" t="s">
        <v>981</v>
      </c>
      <c r="C54" s="46" t="s">
        <v>1167</v>
      </c>
      <c r="D54" s="46" t="s">
        <v>1168</v>
      </c>
      <c r="E54" s="41" t="s">
        <v>1169</v>
      </c>
      <c r="F54" s="41" t="s">
        <v>1138</v>
      </c>
      <c r="G54" s="41" t="s">
        <v>1139</v>
      </c>
      <c r="H54" s="47" t="s">
        <v>17</v>
      </c>
      <c r="I54" s="46" t="s">
        <v>73</v>
      </c>
      <c r="J54" s="42" t="s">
        <v>103</v>
      </c>
      <c r="K54" s="41" t="s">
        <v>74</v>
      </c>
      <c r="L54" s="46"/>
      <c r="M54" s="46" t="s">
        <v>113</v>
      </c>
      <c r="N54" s="46" t="s">
        <v>23</v>
      </c>
      <c r="O54" s="46" t="s">
        <v>996</v>
      </c>
    </row>
    <row r="55" spans="1:15" ht="96" hidden="1" customHeight="1" x14ac:dyDescent="0.25">
      <c r="A55" s="31">
        <v>1198656</v>
      </c>
      <c r="B55" s="38" t="s">
        <v>981</v>
      </c>
      <c r="C55" s="46" t="s">
        <v>1170</v>
      </c>
      <c r="D55" s="46" t="s">
        <v>1171</v>
      </c>
      <c r="E55" s="41" t="s">
        <v>1172</v>
      </c>
      <c r="F55" s="41" t="s">
        <v>1138</v>
      </c>
      <c r="G55" s="41" t="s">
        <v>1139</v>
      </c>
      <c r="H55" s="47" t="s">
        <v>17</v>
      </c>
      <c r="I55" s="46" t="s">
        <v>73</v>
      </c>
      <c r="J55" s="42" t="s">
        <v>103</v>
      </c>
      <c r="K55" s="41" t="s">
        <v>74</v>
      </c>
      <c r="L55" s="46"/>
      <c r="M55" s="46" t="s">
        <v>113</v>
      </c>
      <c r="N55" s="46" t="s">
        <v>23</v>
      </c>
      <c r="O55" s="46" t="s">
        <v>996</v>
      </c>
    </row>
    <row r="56" spans="1:15" ht="27.75" hidden="1" customHeight="1" x14ac:dyDescent="0.25">
      <c r="A56" s="31">
        <v>1198657</v>
      </c>
      <c r="B56" s="38" t="s">
        <v>981</v>
      </c>
      <c r="C56" s="46" t="s">
        <v>1173</v>
      </c>
      <c r="D56" s="46" t="s">
        <v>1174</v>
      </c>
      <c r="E56" s="41" t="s">
        <v>1175</v>
      </c>
      <c r="F56" s="41" t="s">
        <v>1176</v>
      </c>
      <c r="G56" s="41" t="s">
        <v>1177</v>
      </c>
      <c r="H56" s="47" t="s">
        <v>17</v>
      </c>
      <c r="I56" s="46" t="s">
        <v>73</v>
      </c>
      <c r="J56" s="40" t="s">
        <v>506</v>
      </c>
      <c r="K56" s="41" t="s">
        <v>74</v>
      </c>
      <c r="L56" s="46"/>
      <c r="M56" s="46" t="s">
        <v>22</v>
      </c>
      <c r="N56" s="46" t="s">
        <v>23</v>
      </c>
      <c r="O56" s="46" t="s">
        <v>996</v>
      </c>
    </row>
    <row r="57" spans="1:15" ht="27.75" hidden="1" customHeight="1" x14ac:dyDescent="0.25">
      <c r="A57" s="31">
        <v>1198659</v>
      </c>
      <c r="B57" s="38" t="s">
        <v>981</v>
      </c>
      <c r="C57" s="46" t="s">
        <v>1178</v>
      </c>
      <c r="D57" s="46" t="s">
        <v>1179</v>
      </c>
      <c r="E57" s="41" t="s">
        <v>1175</v>
      </c>
      <c r="F57" s="41" t="s">
        <v>1180</v>
      </c>
      <c r="G57" s="41" t="s">
        <v>1177</v>
      </c>
      <c r="H57" s="47" t="s">
        <v>17</v>
      </c>
      <c r="I57" s="46" t="s">
        <v>73</v>
      </c>
      <c r="J57" s="40" t="s">
        <v>506</v>
      </c>
      <c r="K57" s="41" t="s">
        <v>74</v>
      </c>
      <c r="L57" s="46"/>
      <c r="M57" s="46" t="s">
        <v>22</v>
      </c>
      <c r="N57" s="46" t="s">
        <v>23</v>
      </c>
      <c r="O57" s="46" t="s">
        <v>996</v>
      </c>
    </row>
    <row r="58" spans="1:15" ht="27.75" hidden="1" customHeight="1" x14ac:dyDescent="0.25">
      <c r="A58" s="31">
        <v>1198660</v>
      </c>
      <c r="B58" s="38" t="s">
        <v>981</v>
      </c>
      <c r="C58" s="46" t="s">
        <v>1181</v>
      </c>
      <c r="D58" s="46" t="s">
        <v>1182</v>
      </c>
      <c r="E58" s="41" t="s">
        <v>1175</v>
      </c>
      <c r="F58" s="41" t="s">
        <v>1183</v>
      </c>
      <c r="G58" s="41" t="s">
        <v>1177</v>
      </c>
      <c r="H58" s="47" t="s">
        <v>17</v>
      </c>
      <c r="I58" s="46" t="s">
        <v>73</v>
      </c>
      <c r="J58" s="40" t="s">
        <v>506</v>
      </c>
      <c r="K58" s="41" t="s">
        <v>74</v>
      </c>
      <c r="L58" s="46"/>
      <c r="M58" s="46" t="s">
        <v>22</v>
      </c>
      <c r="N58" s="46" t="s">
        <v>23</v>
      </c>
      <c r="O58" s="46" t="s">
        <v>996</v>
      </c>
    </row>
    <row r="59" spans="1:15" ht="82.5" hidden="1" customHeight="1" x14ac:dyDescent="0.25">
      <c r="A59" s="31">
        <v>1198662</v>
      </c>
      <c r="B59" s="38" t="s">
        <v>981</v>
      </c>
      <c r="C59" s="46" t="s">
        <v>1184</v>
      </c>
      <c r="D59" s="46" t="s">
        <v>1185</v>
      </c>
      <c r="E59" s="41" t="s">
        <v>1186</v>
      </c>
      <c r="F59" s="41" t="s">
        <v>1138</v>
      </c>
      <c r="G59" s="41" t="s">
        <v>1187</v>
      </c>
      <c r="H59" s="47" t="s">
        <v>17</v>
      </c>
      <c r="I59" s="46" t="s">
        <v>73</v>
      </c>
      <c r="J59" s="40" t="s">
        <v>506</v>
      </c>
      <c r="K59" s="41" t="s">
        <v>74</v>
      </c>
      <c r="L59" s="46"/>
      <c r="M59" s="46" t="s">
        <v>22</v>
      </c>
      <c r="N59" s="46" t="s">
        <v>23</v>
      </c>
      <c r="O59" s="46" t="s">
        <v>996</v>
      </c>
    </row>
    <row r="60" spans="1:15" ht="82.5" hidden="1" customHeight="1" x14ac:dyDescent="0.25">
      <c r="A60" s="31">
        <v>1198663</v>
      </c>
      <c r="B60" s="38" t="s">
        <v>981</v>
      </c>
      <c r="C60" s="46" t="s">
        <v>1188</v>
      </c>
      <c r="D60" s="46" t="s">
        <v>1189</v>
      </c>
      <c r="E60" s="41" t="s">
        <v>1190</v>
      </c>
      <c r="F60" s="41" t="s">
        <v>1138</v>
      </c>
      <c r="G60" s="41" t="s">
        <v>1187</v>
      </c>
      <c r="H60" s="47" t="s">
        <v>17</v>
      </c>
      <c r="I60" s="46" t="s">
        <v>73</v>
      </c>
      <c r="J60" s="40" t="s">
        <v>506</v>
      </c>
      <c r="K60" s="41" t="s">
        <v>74</v>
      </c>
      <c r="L60" s="46"/>
      <c r="M60" s="46" t="s">
        <v>22</v>
      </c>
      <c r="N60" s="46" t="s">
        <v>23</v>
      </c>
      <c r="O60" s="46" t="s">
        <v>996</v>
      </c>
    </row>
    <row r="61" spans="1:15" ht="82.5" hidden="1" customHeight="1" x14ac:dyDescent="0.25">
      <c r="A61" s="31">
        <v>1198664</v>
      </c>
      <c r="B61" s="38" t="s">
        <v>981</v>
      </c>
      <c r="C61" s="46" t="s">
        <v>1191</v>
      </c>
      <c r="D61" s="46" t="s">
        <v>1192</v>
      </c>
      <c r="E61" s="41" t="s">
        <v>1193</v>
      </c>
      <c r="F61" s="41" t="s">
        <v>1138</v>
      </c>
      <c r="G61" s="41" t="s">
        <v>1187</v>
      </c>
      <c r="H61" s="47" t="s">
        <v>17</v>
      </c>
      <c r="I61" s="46" t="s">
        <v>73</v>
      </c>
      <c r="J61" s="40" t="s">
        <v>506</v>
      </c>
      <c r="K61" s="41" t="s">
        <v>74</v>
      </c>
      <c r="L61" s="46"/>
      <c r="M61" s="46" t="s">
        <v>22</v>
      </c>
      <c r="N61" s="46" t="s">
        <v>23</v>
      </c>
      <c r="O61" s="46" t="s">
        <v>996</v>
      </c>
    </row>
    <row r="62" spans="1:15" ht="82.5" hidden="1" customHeight="1" x14ac:dyDescent="0.25">
      <c r="A62" s="31">
        <v>1198666</v>
      </c>
      <c r="B62" s="38" t="s">
        <v>981</v>
      </c>
      <c r="C62" s="46" t="s">
        <v>1194</v>
      </c>
      <c r="D62" s="46" t="s">
        <v>1195</v>
      </c>
      <c r="E62" s="41" t="s">
        <v>1196</v>
      </c>
      <c r="F62" s="41" t="s">
        <v>1138</v>
      </c>
      <c r="G62" s="41" t="s">
        <v>1187</v>
      </c>
      <c r="H62" s="47" t="s">
        <v>17</v>
      </c>
      <c r="I62" s="46" t="s">
        <v>73</v>
      </c>
      <c r="J62" s="40" t="s">
        <v>506</v>
      </c>
      <c r="K62" s="41" t="s">
        <v>74</v>
      </c>
      <c r="L62" s="46"/>
      <c r="M62" s="46" t="s">
        <v>22</v>
      </c>
      <c r="N62" s="46" t="s">
        <v>23</v>
      </c>
      <c r="O62" s="46" t="s">
        <v>996</v>
      </c>
    </row>
    <row r="63" spans="1:15" ht="96" hidden="1" customHeight="1" x14ac:dyDescent="0.25">
      <c r="A63" s="31">
        <v>1198667</v>
      </c>
      <c r="B63" s="38" t="s">
        <v>981</v>
      </c>
      <c r="C63" s="46" t="s">
        <v>1197</v>
      </c>
      <c r="D63" s="46" t="s">
        <v>1198</v>
      </c>
      <c r="E63" s="41" t="s">
        <v>1199</v>
      </c>
      <c r="F63" s="41" t="s">
        <v>1138</v>
      </c>
      <c r="G63" s="41" t="s">
        <v>1187</v>
      </c>
      <c r="H63" s="47" t="s">
        <v>17</v>
      </c>
      <c r="I63" s="46" t="s">
        <v>73</v>
      </c>
      <c r="J63" s="40" t="s">
        <v>506</v>
      </c>
      <c r="K63" s="41" t="s">
        <v>74</v>
      </c>
      <c r="L63" s="46"/>
      <c r="M63" s="46" t="s">
        <v>22</v>
      </c>
      <c r="N63" s="46" t="s">
        <v>23</v>
      </c>
      <c r="O63" s="46" t="s">
        <v>996</v>
      </c>
    </row>
    <row r="64" spans="1:15" ht="96" hidden="1" customHeight="1" x14ac:dyDescent="0.25">
      <c r="A64" s="31">
        <v>1198668</v>
      </c>
      <c r="B64" s="38" t="s">
        <v>981</v>
      </c>
      <c r="C64" s="46" t="s">
        <v>1200</v>
      </c>
      <c r="D64" s="46" t="s">
        <v>1201</v>
      </c>
      <c r="E64" s="41" t="s">
        <v>1202</v>
      </c>
      <c r="F64" s="41" t="s">
        <v>1138</v>
      </c>
      <c r="G64" s="41" t="s">
        <v>1187</v>
      </c>
      <c r="H64" s="47" t="s">
        <v>17</v>
      </c>
      <c r="I64" s="46" t="s">
        <v>73</v>
      </c>
      <c r="J64" s="40" t="s">
        <v>506</v>
      </c>
      <c r="K64" s="41" t="s">
        <v>74</v>
      </c>
      <c r="L64" s="46"/>
      <c r="M64" s="46" t="s">
        <v>22</v>
      </c>
      <c r="N64" s="46" t="s">
        <v>23</v>
      </c>
      <c r="O64" s="46" t="s">
        <v>996</v>
      </c>
    </row>
    <row r="65" spans="1:15" ht="123" customHeight="1" x14ac:dyDescent="0.25">
      <c r="A65" s="31">
        <v>1198670</v>
      </c>
      <c r="B65" s="38" t="s">
        <v>981</v>
      </c>
      <c r="C65" s="46" t="s">
        <v>1203</v>
      </c>
      <c r="D65" s="46" t="s">
        <v>1204</v>
      </c>
      <c r="E65" s="41" t="s">
        <v>1205</v>
      </c>
      <c r="F65" s="41" t="s">
        <v>1206</v>
      </c>
      <c r="G65" s="41" t="s">
        <v>1207</v>
      </c>
      <c r="H65" s="47" t="s">
        <v>17</v>
      </c>
      <c r="I65" s="46" t="s">
        <v>73</v>
      </c>
      <c r="J65" s="48" t="s">
        <v>19</v>
      </c>
      <c r="K65" s="41" t="s">
        <v>74</v>
      </c>
      <c r="L65" s="46"/>
      <c r="M65" s="46" t="s">
        <v>76</v>
      </c>
      <c r="N65" s="46" t="s">
        <v>23</v>
      </c>
      <c r="O65" s="46" t="s">
        <v>996</v>
      </c>
    </row>
    <row r="66" spans="1:15" ht="123" hidden="1" customHeight="1" x14ac:dyDescent="0.25">
      <c r="A66" s="31">
        <v>1198671</v>
      </c>
      <c r="B66" s="38" t="s">
        <v>981</v>
      </c>
      <c r="C66" s="46" t="s">
        <v>1208</v>
      </c>
      <c r="D66" s="46" t="s">
        <v>1209</v>
      </c>
      <c r="E66" s="41" t="s">
        <v>1210</v>
      </c>
      <c r="F66" s="41" t="s">
        <v>1206</v>
      </c>
      <c r="G66" s="41" t="s">
        <v>1207</v>
      </c>
      <c r="H66" s="47" t="s">
        <v>17</v>
      </c>
      <c r="I66" s="46" t="s">
        <v>73</v>
      </c>
      <c r="J66" s="42" t="s">
        <v>103</v>
      </c>
      <c r="K66" s="41" t="s">
        <v>74</v>
      </c>
      <c r="L66" s="46"/>
      <c r="M66" s="46" t="s">
        <v>113</v>
      </c>
      <c r="N66" s="46" t="s">
        <v>23</v>
      </c>
      <c r="O66" s="46" t="s">
        <v>996</v>
      </c>
    </row>
    <row r="67" spans="1:15" ht="123" hidden="1" customHeight="1" x14ac:dyDescent="0.25">
      <c r="A67" s="31">
        <v>1198672</v>
      </c>
      <c r="B67" s="38" t="s">
        <v>981</v>
      </c>
      <c r="C67" s="46" t="s">
        <v>1211</v>
      </c>
      <c r="D67" s="46" t="s">
        <v>1212</v>
      </c>
      <c r="E67" s="41" t="s">
        <v>1213</v>
      </c>
      <c r="F67" s="41" t="s">
        <v>1206</v>
      </c>
      <c r="G67" s="41" t="s">
        <v>1207</v>
      </c>
      <c r="H67" s="47" t="s">
        <v>17</v>
      </c>
      <c r="I67" s="46" t="s">
        <v>73</v>
      </c>
      <c r="J67" s="42" t="s">
        <v>103</v>
      </c>
      <c r="K67" s="41" t="s">
        <v>74</v>
      </c>
      <c r="L67" s="46"/>
      <c r="M67" s="46" t="s">
        <v>113</v>
      </c>
      <c r="N67" s="46" t="s">
        <v>23</v>
      </c>
      <c r="O67" s="46" t="s">
        <v>996</v>
      </c>
    </row>
    <row r="68" spans="1:15" ht="123" hidden="1" customHeight="1" x14ac:dyDescent="0.25">
      <c r="A68" s="31">
        <v>1198674</v>
      </c>
      <c r="B68" s="38" t="s">
        <v>981</v>
      </c>
      <c r="C68" s="46" t="s">
        <v>1214</v>
      </c>
      <c r="D68" s="46" t="s">
        <v>1215</v>
      </c>
      <c r="E68" s="41" t="s">
        <v>1216</v>
      </c>
      <c r="F68" s="41" t="s">
        <v>1206</v>
      </c>
      <c r="G68" s="41" t="s">
        <v>1207</v>
      </c>
      <c r="H68" s="47" t="s">
        <v>17</v>
      </c>
      <c r="I68" s="46" t="s">
        <v>73</v>
      </c>
      <c r="J68" s="42" t="s">
        <v>103</v>
      </c>
      <c r="K68" s="41" t="s">
        <v>74</v>
      </c>
      <c r="L68" s="46"/>
      <c r="M68" s="46" t="s">
        <v>113</v>
      </c>
      <c r="N68" s="46" t="s">
        <v>23</v>
      </c>
      <c r="O68" s="46" t="s">
        <v>996</v>
      </c>
    </row>
    <row r="69" spans="1:15" ht="123" hidden="1" customHeight="1" x14ac:dyDescent="0.25">
      <c r="A69" s="31">
        <v>1198675</v>
      </c>
      <c r="B69" s="38" t="s">
        <v>981</v>
      </c>
      <c r="C69" s="46" t="s">
        <v>1217</v>
      </c>
      <c r="D69" s="46" t="s">
        <v>1218</v>
      </c>
      <c r="E69" s="41" t="s">
        <v>1219</v>
      </c>
      <c r="F69" s="41" t="s">
        <v>1206</v>
      </c>
      <c r="G69" s="41" t="s">
        <v>1207</v>
      </c>
      <c r="H69" s="47" t="s">
        <v>17</v>
      </c>
      <c r="I69" s="46" t="s">
        <v>73</v>
      </c>
      <c r="J69" s="42" t="s">
        <v>103</v>
      </c>
      <c r="K69" s="41" t="s">
        <v>74</v>
      </c>
      <c r="L69" s="46"/>
      <c r="M69" s="46" t="s">
        <v>113</v>
      </c>
      <c r="N69" s="46" t="s">
        <v>23</v>
      </c>
      <c r="O69" s="46" t="s">
        <v>996</v>
      </c>
    </row>
    <row r="70" spans="1:15" ht="123" hidden="1" customHeight="1" x14ac:dyDescent="0.25">
      <c r="A70" s="31">
        <v>1198677</v>
      </c>
      <c r="B70" s="38" t="s">
        <v>981</v>
      </c>
      <c r="C70" s="46" t="s">
        <v>1220</v>
      </c>
      <c r="D70" s="46" t="s">
        <v>1221</v>
      </c>
      <c r="E70" s="41" t="s">
        <v>1222</v>
      </c>
      <c r="F70" s="41" t="s">
        <v>1206</v>
      </c>
      <c r="G70" s="41" t="s">
        <v>1207</v>
      </c>
      <c r="H70" s="47" t="s">
        <v>17</v>
      </c>
      <c r="I70" s="46" t="s">
        <v>73</v>
      </c>
      <c r="J70" s="42" t="s">
        <v>103</v>
      </c>
      <c r="K70" s="41" t="s">
        <v>74</v>
      </c>
      <c r="L70" s="46"/>
      <c r="M70" s="46" t="s">
        <v>113</v>
      </c>
      <c r="N70" s="46" t="s">
        <v>23</v>
      </c>
      <c r="O70" s="46" t="s">
        <v>996</v>
      </c>
    </row>
    <row r="71" spans="1:15" ht="123" hidden="1" customHeight="1" x14ac:dyDescent="0.25">
      <c r="A71" s="31">
        <v>1198678</v>
      </c>
      <c r="B71" s="38" t="s">
        <v>981</v>
      </c>
      <c r="C71" s="46" t="s">
        <v>1223</v>
      </c>
      <c r="D71" s="46" t="s">
        <v>1224</v>
      </c>
      <c r="E71" s="41" t="s">
        <v>1225</v>
      </c>
      <c r="F71" s="41" t="s">
        <v>1206</v>
      </c>
      <c r="G71" s="41" t="s">
        <v>1207</v>
      </c>
      <c r="H71" s="47" t="s">
        <v>17</v>
      </c>
      <c r="I71" s="46" t="s">
        <v>73</v>
      </c>
      <c r="J71" s="42" t="s">
        <v>103</v>
      </c>
      <c r="K71" s="41" t="s">
        <v>74</v>
      </c>
      <c r="L71" s="46"/>
      <c r="M71" s="46" t="s">
        <v>113</v>
      </c>
      <c r="N71" s="46" t="s">
        <v>23</v>
      </c>
      <c r="O71" s="46" t="s">
        <v>996</v>
      </c>
    </row>
    <row r="72" spans="1:15" ht="123" hidden="1" customHeight="1" x14ac:dyDescent="0.25">
      <c r="A72" s="31">
        <v>1198680</v>
      </c>
      <c r="B72" s="38" t="s">
        <v>981</v>
      </c>
      <c r="C72" s="46" t="s">
        <v>1226</v>
      </c>
      <c r="D72" s="46" t="s">
        <v>1227</v>
      </c>
      <c r="E72" s="41" t="s">
        <v>1228</v>
      </c>
      <c r="F72" s="41" t="s">
        <v>1206</v>
      </c>
      <c r="G72" s="41" t="s">
        <v>1207</v>
      </c>
      <c r="H72" s="47" t="s">
        <v>17</v>
      </c>
      <c r="I72" s="46" t="s">
        <v>73</v>
      </c>
      <c r="J72" s="42" t="s">
        <v>103</v>
      </c>
      <c r="K72" s="41" t="s">
        <v>74</v>
      </c>
      <c r="L72" s="46"/>
      <c r="M72" s="46" t="s">
        <v>113</v>
      </c>
      <c r="N72" s="46" t="s">
        <v>23</v>
      </c>
      <c r="O72" s="46" t="s">
        <v>996</v>
      </c>
    </row>
    <row r="73" spans="1:15" ht="136.5" hidden="1" customHeight="1" x14ac:dyDescent="0.25">
      <c r="A73" s="31">
        <v>1198682</v>
      </c>
      <c r="B73" s="38" t="s">
        <v>981</v>
      </c>
      <c r="C73" s="46" t="s">
        <v>1229</v>
      </c>
      <c r="D73" s="46" t="s">
        <v>1230</v>
      </c>
      <c r="E73" s="41" t="s">
        <v>1231</v>
      </c>
      <c r="F73" s="41" t="s">
        <v>1206</v>
      </c>
      <c r="G73" s="41" t="s">
        <v>1207</v>
      </c>
      <c r="H73" s="47" t="s">
        <v>17</v>
      </c>
      <c r="I73" s="46" t="s">
        <v>73</v>
      </c>
      <c r="J73" s="42" t="s">
        <v>103</v>
      </c>
      <c r="K73" s="41" t="s">
        <v>74</v>
      </c>
      <c r="L73" s="46"/>
      <c r="M73" s="46" t="s">
        <v>113</v>
      </c>
      <c r="N73" s="46" t="s">
        <v>23</v>
      </c>
      <c r="O73" s="46" t="s">
        <v>996</v>
      </c>
    </row>
    <row r="74" spans="1:15" ht="136.5" hidden="1" customHeight="1" x14ac:dyDescent="0.25">
      <c r="A74" s="31">
        <v>1198683</v>
      </c>
      <c r="B74" s="38" t="s">
        <v>981</v>
      </c>
      <c r="C74" s="46" t="s">
        <v>1232</v>
      </c>
      <c r="D74" s="46" t="s">
        <v>1233</v>
      </c>
      <c r="E74" s="41" t="s">
        <v>1234</v>
      </c>
      <c r="F74" s="41" t="s">
        <v>1206</v>
      </c>
      <c r="G74" s="41" t="s">
        <v>1207</v>
      </c>
      <c r="H74" s="47" t="s">
        <v>17</v>
      </c>
      <c r="I74" s="46" t="s">
        <v>73</v>
      </c>
      <c r="J74" s="42" t="s">
        <v>103</v>
      </c>
      <c r="K74" s="41" t="s">
        <v>74</v>
      </c>
      <c r="L74" s="46"/>
      <c r="M74" s="46" t="s">
        <v>113</v>
      </c>
      <c r="N74" s="46" t="s">
        <v>23</v>
      </c>
      <c r="O74" s="46" t="s">
        <v>996</v>
      </c>
    </row>
    <row r="75" spans="1:15" ht="136.5" hidden="1" customHeight="1" x14ac:dyDescent="0.25">
      <c r="A75" s="31">
        <v>1198685</v>
      </c>
      <c r="B75" s="38" t="s">
        <v>981</v>
      </c>
      <c r="C75" s="46" t="s">
        <v>1235</v>
      </c>
      <c r="D75" s="46" t="s">
        <v>1236</v>
      </c>
      <c r="E75" s="41" t="s">
        <v>1237</v>
      </c>
      <c r="F75" s="41" t="s">
        <v>1206</v>
      </c>
      <c r="G75" s="41" t="s">
        <v>1207</v>
      </c>
      <c r="H75" s="47" t="s">
        <v>17</v>
      </c>
      <c r="I75" s="46" t="s">
        <v>73</v>
      </c>
      <c r="J75" s="42" t="s">
        <v>103</v>
      </c>
      <c r="K75" s="41" t="s">
        <v>74</v>
      </c>
      <c r="L75" s="46"/>
      <c r="M75" s="46" t="s">
        <v>113</v>
      </c>
      <c r="N75" s="46" t="s">
        <v>23</v>
      </c>
      <c r="O75" s="46" t="s">
        <v>996</v>
      </c>
    </row>
    <row r="76" spans="1:15" ht="136.5" hidden="1" customHeight="1" x14ac:dyDescent="0.25">
      <c r="A76" s="31">
        <v>1198686</v>
      </c>
      <c r="B76" s="38" t="s">
        <v>981</v>
      </c>
      <c r="C76" s="46" t="s">
        <v>1238</v>
      </c>
      <c r="D76" s="46" t="s">
        <v>1239</v>
      </c>
      <c r="E76" s="41" t="s">
        <v>1240</v>
      </c>
      <c r="F76" s="41" t="s">
        <v>1206</v>
      </c>
      <c r="G76" s="41" t="s">
        <v>1207</v>
      </c>
      <c r="H76" s="47" t="s">
        <v>17</v>
      </c>
      <c r="I76" s="46" t="s">
        <v>73</v>
      </c>
      <c r="J76" s="42" t="s">
        <v>103</v>
      </c>
      <c r="K76" s="41" t="s">
        <v>74</v>
      </c>
      <c r="L76" s="46"/>
      <c r="M76" s="46" t="s">
        <v>113</v>
      </c>
      <c r="N76" s="46" t="s">
        <v>23</v>
      </c>
      <c r="O76" s="46" t="s">
        <v>996</v>
      </c>
    </row>
    <row r="77" spans="1:15" ht="123" hidden="1" customHeight="1" x14ac:dyDescent="0.25">
      <c r="A77" s="31">
        <v>1198687</v>
      </c>
      <c r="B77" s="38" t="s">
        <v>981</v>
      </c>
      <c r="C77" s="46" t="s">
        <v>1241</v>
      </c>
      <c r="D77" s="46" t="s">
        <v>1242</v>
      </c>
      <c r="E77" s="41" t="s">
        <v>1243</v>
      </c>
      <c r="F77" s="41" t="s">
        <v>1244</v>
      </c>
      <c r="G77" s="41" t="s">
        <v>1245</v>
      </c>
      <c r="H77" s="47" t="s">
        <v>17</v>
      </c>
      <c r="I77" s="46" t="s">
        <v>73</v>
      </c>
      <c r="J77" s="40" t="s">
        <v>506</v>
      </c>
      <c r="K77" s="41" t="s">
        <v>74</v>
      </c>
      <c r="L77" s="46"/>
      <c r="M77" s="46" t="s">
        <v>22</v>
      </c>
      <c r="N77" s="46" t="s">
        <v>23</v>
      </c>
      <c r="O77" s="46" t="s">
        <v>996</v>
      </c>
    </row>
    <row r="78" spans="1:15" ht="123" hidden="1" customHeight="1" x14ac:dyDescent="0.25">
      <c r="A78" s="31">
        <v>1198688</v>
      </c>
      <c r="B78" s="38" t="s">
        <v>981</v>
      </c>
      <c r="C78" s="46" t="s">
        <v>1246</v>
      </c>
      <c r="D78" s="46" t="s">
        <v>1247</v>
      </c>
      <c r="E78" s="41" t="s">
        <v>1248</v>
      </c>
      <c r="F78" s="41" t="s">
        <v>1244</v>
      </c>
      <c r="G78" s="41" t="s">
        <v>1245</v>
      </c>
      <c r="H78" s="47" t="s">
        <v>17</v>
      </c>
      <c r="I78" s="46" t="s">
        <v>73</v>
      </c>
      <c r="J78" s="40" t="s">
        <v>506</v>
      </c>
      <c r="K78" s="41" t="s">
        <v>74</v>
      </c>
      <c r="L78" s="46"/>
      <c r="M78" s="46" t="s">
        <v>22</v>
      </c>
      <c r="N78" s="46" t="s">
        <v>23</v>
      </c>
      <c r="O78" s="46" t="s">
        <v>996</v>
      </c>
    </row>
    <row r="79" spans="1:15" ht="123" hidden="1" customHeight="1" x14ac:dyDescent="0.25">
      <c r="A79" s="31">
        <v>1198690</v>
      </c>
      <c r="B79" s="38" t="s">
        <v>981</v>
      </c>
      <c r="C79" s="46" t="s">
        <v>1249</v>
      </c>
      <c r="D79" s="46" t="s">
        <v>1250</v>
      </c>
      <c r="E79" s="41" t="s">
        <v>1251</v>
      </c>
      <c r="F79" s="41" t="s">
        <v>1244</v>
      </c>
      <c r="G79" s="41" t="s">
        <v>1245</v>
      </c>
      <c r="H79" s="47" t="s">
        <v>17</v>
      </c>
      <c r="I79" s="46" t="s">
        <v>73</v>
      </c>
      <c r="J79" s="40" t="s">
        <v>506</v>
      </c>
      <c r="K79" s="41" t="s">
        <v>74</v>
      </c>
      <c r="L79" s="46"/>
      <c r="M79" s="46" t="s">
        <v>22</v>
      </c>
      <c r="N79" s="46" t="s">
        <v>23</v>
      </c>
      <c r="O79" s="46" t="s">
        <v>996</v>
      </c>
    </row>
    <row r="80" spans="1:15" ht="123" hidden="1" customHeight="1" x14ac:dyDescent="0.25">
      <c r="A80" s="31">
        <v>1198691</v>
      </c>
      <c r="B80" s="38" t="s">
        <v>981</v>
      </c>
      <c r="C80" s="46" t="s">
        <v>1252</v>
      </c>
      <c r="D80" s="46" t="s">
        <v>1253</v>
      </c>
      <c r="E80" s="41" t="s">
        <v>1254</v>
      </c>
      <c r="F80" s="41" t="s">
        <v>1244</v>
      </c>
      <c r="G80" s="41" t="s">
        <v>1245</v>
      </c>
      <c r="H80" s="47" t="s">
        <v>17</v>
      </c>
      <c r="I80" s="46" t="s">
        <v>73</v>
      </c>
      <c r="J80" s="40" t="s">
        <v>506</v>
      </c>
      <c r="K80" s="41" t="s">
        <v>74</v>
      </c>
      <c r="L80" s="46"/>
      <c r="M80" s="46" t="s">
        <v>22</v>
      </c>
      <c r="N80" s="46" t="s">
        <v>23</v>
      </c>
      <c r="O80" s="46" t="s">
        <v>996</v>
      </c>
    </row>
    <row r="81" spans="1:15" ht="136.5" hidden="1" customHeight="1" x14ac:dyDescent="0.25">
      <c r="A81" s="31">
        <v>1198692</v>
      </c>
      <c r="B81" s="38" t="s">
        <v>981</v>
      </c>
      <c r="C81" s="46" t="s">
        <v>1255</v>
      </c>
      <c r="D81" s="46" t="s">
        <v>1256</v>
      </c>
      <c r="E81" s="41" t="s">
        <v>1257</v>
      </c>
      <c r="F81" s="41" t="s">
        <v>1244</v>
      </c>
      <c r="G81" s="41" t="s">
        <v>1245</v>
      </c>
      <c r="H81" s="47" t="s">
        <v>17</v>
      </c>
      <c r="I81" s="46" t="s">
        <v>73</v>
      </c>
      <c r="J81" s="40" t="s">
        <v>506</v>
      </c>
      <c r="K81" s="41" t="s">
        <v>74</v>
      </c>
      <c r="L81" s="46"/>
      <c r="M81" s="46" t="s">
        <v>22</v>
      </c>
      <c r="N81" s="46" t="s">
        <v>23</v>
      </c>
      <c r="O81" s="46" t="s">
        <v>996</v>
      </c>
    </row>
    <row r="82" spans="1:15" ht="136.5" hidden="1" customHeight="1" x14ac:dyDescent="0.25">
      <c r="A82" s="31">
        <v>1198693</v>
      </c>
      <c r="B82" s="38" t="s">
        <v>981</v>
      </c>
      <c r="C82" s="46" t="s">
        <v>1258</v>
      </c>
      <c r="D82" s="46" t="s">
        <v>1259</v>
      </c>
      <c r="E82" s="41" t="s">
        <v>1260</v>
      </c>
      <c r="F82" s="41" t="s">
        <v>1244</v>
      </c>
      <c r="G82" s="41" t="s">
        <v>1245</v>
      </c>
      <c r="H82" s="47" t="s">
        <v>17</v>
      </c>
      <c r="I82" s="46" t="s">
        <v>73</v>
      </c>
      <c r="J82" s="40" t="s">
        <v>506</v>
      </c>
      <c r="K82" s="41" t="s">
        <v>74</v>
      </c>
      <c r="L82" s="46"/>
      <c r="M82" s="46" t="s">
        <v>22</v>
      </c>
      <c r="N82" s="46" t="s">
        <v>23</v>
      </c>
      <c r="O82" s="46" t="s">
        <v>996</v>
      </c>
    </row>
    <row r="83" spans="1:15" ht="123" hidden="1" customHeight="1" x14ac:dyDescent="0.25">
      <c r="A83" s="31">
        <v>1198694</v>
      </c>
      <c r="B83" s="38" t="s">
        <v>981</v>
      </c>
      <c r="C83" s="46" t="s">
        <v>1261</v>
      </c>
      <c r="D83" s="46" t="s">
        <v>1262</v>
      </c>
      <c r="E83" s="41" t="s">
        <v>1263</v>
      </c>
      <c r="F83" s="41" t="s">
        <v>1206</v>
      </c>
      <c r="G83" s="41" t="s">
        <v>1264</v>
      </c>
      <c r="H83" s="47" t="s">
        <v>17</v>
      </c>
      <c r="I83" s="46" t="s">
        <v>73</v>
      </c>
      <c r="J83" s="42" t="s">
        <v>103</v>
      </c>
      <c r="K83" s="41" t="s">
        <v>74</v>
      </c>
      <c r="L83" s="46"/>
      <c r="M83" s="46" t="s">
        <v>113</v>
      </c>
      <c r="N83" s="46" t="s">
        <v>23</v>
      </c>
      <c r="O83" s="46" t="s">
        <v>996</v>
      </c>
    </row>
    <row r="84" spans="1:15" ht="123" hidden="1" customHeight="1" x14ac:dyDescent="0.25">
      <c r="A84" s="31">
        <v>1198695</v>
      </c>
      <c r="B84" s="38" t="s">
        <v>981</v>
      </c>
      <c r="C84" s="46" t="s">
        <v>1265</v>
      </c>
      <c r="D84" s="46" t="s">
        <v>1266</v>
      </c>
      <c r="E84" s="41" t="s">
        <v>1267</v>
      </c>
      <c r="F84" s="41" t="s">
        <v>1206</v>
      </c>
      <c r="G84" s="41" t="s">
        <v>1268</v>
      </c>
      <c r="H84" s="47" t="s">
        <v>17</v>
      </c>
      <c r="I84" s="46" t="s">
        <v>73</v>
      </c>
      <c r="J84" s="42" t="s">
        <v>103</v>
      </c>
      <c r="K84" s="41" t="s">
        <v>74</v>
      </c>
      <c r="L84" s="46"/>
      <c r="M84" s="46" t="s">
        <v>113</v>
      </c>
      <c r="N84" s="46" t="s">
        <v>23</v>
      </c>
      <c r="O84" s="46" t="s">
        <v>996</v>
      </c>
    </row>
    <row r="85" spans="1:15" ht="123" hidden="1" customHeight="1" x14ac:dyDescent="0.25">
      <c r="A85" s="31">
        <v>1198696</v>
      </c>
      <c r="B85" s="38" t="s">
        <v>981</v>
      </c>
      <c r="C85" s="46" t="s">
        <v>1269</v>
      </c>
      <c r="D85" s="46" t="s">
        <v>1270</v>
      </c>
      <c r="E85" s="41" t="s">
        <v>1271</v>
      </c>
      <c r="F85" s="41" t="s">
        <v>1206</v>
      </c>
      <c r="G85" s="41" t="s">
        <v>1272</v>
      </c>
      <c r="H85" s="47" t="s">
        <v>17</v>
      </c>
      <c r="I85" s="46" t="s">
        <v>73</v>
      </c>
      <c r="J85" s="42" t="s">
        <v>103</v>
      </c>
      <c r="K85" s="41" t="s">
        <v>74</v>
      </c>
      <c r="L85" s="46"/>
      <c r="M85" s="46" t="s">
        <v>113</v>
      </c>
      <c r="N85" s="46" t="s">
        <v>23</v>
      </c>
      <c r="O85" s="46" t="s">
        <v>996</v>
      </c>
    </row>
    <row r="86" spans="1:15" ht="123" hidden="1" customHeight="1" x14ac:dyDescent="0.25">
      <c r="A86" s="31">
        <v>1198697</v>
      </c>
      <c r="B86" s="38" t="s">
        <v>981</v>
      </c>
      <c r="C86" s="46" t="s">
        <v>1273</v>
      </c>
      <c r="D86" s="46" t="s">
        <v>1274</v>
      </c>
      <c r="E86" s="41" t="s">
        <v>1275</v>
      </c>
      <c r="F86" s="41" t="s">
        <v>1206</v>
      </c>
      <c r="G86" s="41" t="s">
        <v>1276</v>
      </c>
      <c r="H86" s="47" t="s">
        <v>17</v>
      </c>
      <c r="I86" s="46" t="s">
        <v>73</v>
      </c>
      <c r="J86" s="42" t="s">
        <v>103</v>
      </c>
      <c r="K86" s="41" t="s">
        <v>74</v>
      </c>
      <c r="L86" s="46"/>
      <c r="M86" s="46" t="s">
        <v>113</v>
      </c>
      <c r="N86" s="46" t="s">
        <v>23</v>
      </c>
      <c r="O86" s="46" t="s">
        <v>996</v>
      </c>
    </row>
    <row r="87" spans="1:15" ht="96" hidden="1" customHeight="1" x14ac:dyDescent="0.25">
      <c r="A87" s="31">
        <v>1198698</v>
      </c>
      <c r="B87" s="38" t="s">
        <v>981</v>
      </c>
      <c r="C87" s="46" t="s">
        <v>1277</v>
      </c>
      <c r="D87" s="46" t="s">
        <v>1278</v>
      </c>
      <c r="E87" s="41" t="s">
        <v>1279</v>
      </c>
      <c r="F87" s="41" t="s">
        <v>1280</v>
      </c>
      <c r="G87" s="41" t="s">
        <v>1281</v>
      </c>
      <c r="H87" s="47" t="s">
        <v>17</v>
      </c>
      <c r="I87" s="46" t="s">
        <v>73</v>
      </c>
      <c r="J87" s="40" t="s">
        <v>506</v>
      </c>
      <c r="K87" s="41" t="s">
        <v>74</v>
      </c>
      <c r="L87" s="46"/>
      <c r="M87" s="46" t="s">
        <v>22</v>
      </c>
      <c r="N87" s="46" t="s">
        <v>23</v>
      </c>
      <c r="O87" s="46" t="s">
        <v>996</v>
      </c>
    </row>
    <row r="88" spans="1:15" ht="82.5" hidden="1" customHeight="1" x14ac:dyDescent="0.25">
      <c r="A88" s="31">
        <v>1198699</v>
      </c>
      <c r="B88" s="38" t="s">
        <v>981</v>
      </c>
      <c r="C88" s="46" t="s">
        <v>1282</v>
      </c>
      <c r="D88" s="46" t="s">
        <v>1283</v>
      </c>
      <c r="E88" s="41" t="s">
        <v>1137</v>
      </c>
      <c r="F88" s="41" t="s">
        <v>1284</v>
      </c>
      <c r="G88" s="41" t="s">
        <v>1285</v>
      </c>
      <c r="H88" s="47" t="s">
        <v>17</v>
      </c>
      <c r="I88" s="46" t="s">
        <v>73</v>
      </c>
      <c r="J88" s="40" t="s">
        <v>506</v>
      </c>
      <c r="K88" s="41" t="s">
        <v>74</v>
      </c>
      <c r="L88" s="46"/>
      <c r="M88" s="46" t="s">
        <v>22</v>
      </c>
      <c r="N88" s="46" t="s">
        <v>23</v>
      </c>
      <c r="O88" s="46" t="s">
        <v>996</v>
      </c>
    </row>
    <row r="89" spans="1:15" ht="96" hidden="1" customHeight="1" x14ac:dyDescent="0.25">
      <c r="A89" s="31">
        <v>1198700</v>
      </c>
      <c r="B89" s="38" t="s">
        <v>981</v>
      </c>
      <c r="C89" s="46" t="s">
        <v>1286</v>
      </c>
      <c r="D89" s="46" t="s">
        <v>1287</v>
      </c>
      <c r="E89" s="41" t="s">
        <v>1279</v>
      </c>
      <c r="F89" s="41" t="s">
        <v>1288</v>
      </c>
      <c r="G89" s="41" t="s">
        <v>1289</v>
      </c>
      <c r="H89" s="47" t="s">
        <v>17</v>
      </c>
      <c r="I89" s="46" t="s">
        <v>73</v>
      </c>
      <c r="J89" s="40" t="s">
        <v>506</v>
      </c>
      <c r="K89" s="41" t="s">
        <v>74</v>
      </c>
      <c r="L89" s="46"/>
      <c r="M89" s="46" t="s">
        <v>22</v>
      </c>
      <c r="N89" s="46" t="s">
        <v>23</v>
      </c>
      <c r="O89" s="46" t="s">
        <v>996</v>
      </c>
    </row>
    <row r="90" spans="1:15" ht="96" hidden="1" customHeight="1" x14ac:dyDescent="0.25">
      <c r="A90" s="31">
        <v>1198701</v>
      </c>
      <c r="B90" s="38" t="s">
        <v>981</v>
      </c>
      <c r="C90" s="46" t="s">
        <v>1290</v>
      </c>
      <c r="D90" s="46" t="s">
        <v>1291</v>
      </c>
      <c r="E90" s="41" t="s">
        <v>1279</v>
      </c>
      <c r="F90" s="41" t="s">
        <v>1292</v>
      </c>
      <c r="G90" s="41" t="s">
        <v>1293</v>
      </c>
      <c r="H90" s="47" t="s">
        <v>17</v>
      </c>
      <c r="I90" s="46" t="s">
        <v>73</v>
      </c>
      <c r="J90" s="40" t="s">
        <v>466</v>
      </c>
      <c r="K90" s="41" t="s">
        <v>74</v>
      </c>
      <c r="L90" s="46"/>
      <c r="M90" s="46" t="s">
        <v>76</v>
      </c>
      <c r="N90" s="46" t="s">
        <v>23</v>
      </c>
      <c r="O90" s="46" t="s">
        <v>996</v>
      </c>
    </row>
    <row r="91" spans="1:15" ht="96" hidden="1" customHeight="1" x14ac:dyDescent="0.25">
      <c r="A91" s="31">
        <v>1198702</v>
      </c>
      <c r="B91" s="38" t="s">
        <v>981</v>
      </c>
      <c r="C91" s="46" t="s">
        <v>1294</v>
      </c>
      <c r="D91" s="46" t="s">
        <v>1295</v>
      </c>
      <c r="E91" s="41" t="s">
        <v>1279</v>
      </c>
      <c r="F91" s="41" t="s">
        <v>1296</v>
      </c>
      <c r="G91" s="41" t="s">
        <v>1297</v>
      </c>
      <c r="H91" s="47" t="s">
        <v>17</v>
      </c>
      <c r="I91" s="46" t="s">
        <v>73</v>
      </c>
      <c r="J91" s="40" t="s">
        <v>1298</v>
      </c>
      <c r="K91" s="41" t="s">
        <v>74</v>
      </c>
      <c r="L91" s="46"/>
      <c r="M91" s="46" t="s">
        <v>76</v>
      </c>
      <c r="N91" s="46" t="s">
        <v>23</v>
      </c>
      <c r="O91" s="46" t="s">
        <v>996</v>
      </c>
    </row>
    <row r="92" spans="1:15" ht="96" customHeight="1" x14ac:dyDescent="0.25">
      <c r="A92" s="31">
        <v>1198703</v>
      </c>
      <c r="B92" s="38" t="s">
        <v>981</v>
      </c>
      <c r="C92" s="46" t="s">
        <v>1299</v>
      </c>
      <c r="D92" s="46" t="s">
        <v>1300</v>
      </c>
      <c r="E92" s="41" t="s">
        <v>1279</v>
      </c>
      <c r="F92" s="41" t="s">
        <v>1301</v>
      </c>
      <c r="G92" s="41" t="s">
        <v>1302</v>
      </c>
      <c r="H92" s="47" t="s">
        <v>17</v>
      </c>
      <c r="I92" s="46" t="s">
        <v>73</v>
      </c>
      <c r="J92" s="42" t="s">
        <v>103</v>
      </c>
      <c r="K92" s="41" t="s">
        <v>74</v>
      </c>
      <c r="L92" s="46"/>
      <c r="M92" s="46" t="s">
        <v>113</v>
      </c>
      <c r="N92" s="46" t="s">
        <v>23</v>
      </c>
      <c r="O92" s="46" t="s">
        <v>996</v>
      </c>
    </row>
    <row r="93" spans="1:15" ht="96" hidden="1" customHeight="1" x14ac:dyDescent="0.25">
      <c r="A93" s="31">
        <v>1198704</v>
      </c>
      <c r="B93" s="38" t="s">
        <v>981</v>
      </c>
      <c r="C93" s="46" t="s">
        <v>1303</v>
      </c>
      <c r="D93" s="46" t="s">
        <v>1304</v>
      </c>
      <c r="E93" s="41" t="s">
        <v>1279</v>
      </c>
      <c r="F93" s="41" t="s">
        <v>1305</v>
      </c>
      <c r="G93" s="41" t="s">
        <v>1306</v>
      </c>
      <c r="H93" s="47" t="s">
        <v>17</v>
      </c>
      <c r="I93" s="46" t="s">
        <v>73</v>
      </c>
      <c r="J93" s="42" t="s">
        <v>103</v>
      </c>
      <c r="K93" s="41" t="s">
        <v>74</v>
      </c>
      <c r="L93" s="46"/>
      <c r="M93" s="46" t="s">
        <v>113</v>
      </c>
      <c r="N93" s="46" t="s">
        <v>23</v>
      </c>
      <c r="O93" s="46" t="s">
        <v>996</v>
      </c>
    </row>
    <row r="94" spans="1:15" ht="96" customHeight="1" x14ac:dyDescent="0.25">
      <c r="A94" s="31">
        <v>1198705</v>
      </c>
      <c r="B94" s="38" t="s">
        <v>981</v>
      </c>
      <c r="C94" s="46" t="s">
        <v>1307</v>
      </c>
      <c r="D94" s="46" t="s">
        <v>1308</v>
      </c>
      <c r="E94" s="41" t="s">
        <v>1279</v>
      </c>
      <c r="F94" s="41" t="s">
        <v>1309</v>
      </c>
      <c r="G94" s="41" t="s">
        <v>1310</v>
      </c>
      <c r="H94" s="47" t="s">
        <v>17</v>
      </c>
      <c r="I94" s="46" t="s">
        <v>73</v>
      </c>
      <c r="J94" s="42" t="s">
        <v>103</v>
      </c>
      <c r="K94" s="41" t="s">
        <v>74</v>
      </c>
      <c r="L94" s="46"/>
      <c r="M94" s="46" t="s">
        <v>113</v>
      </c>
      <c r="N94" s="46" t="s">
        <v>23</v>
      </c>
      <c r="O94" s="46" t="s">
        <v>996</v>
      </c>
    </row>
    <row r="95" spans="1:15" ht="96" customHeight="1" x14ac:dyDescent="0.25">
      <c r="A95" s="31">
        <v>1198706</v>
      </c>
      <c r="B95" s="38" t="s">
        <v>981</v>
      </c>
      <c r="C95" s="46" t="s">
        <v>1311</v>
      </c>
      <c r="D95" s="46" t="s">
        <v>1312</v>
      </c>
      <c r="E95" s="41" t="s">
        <v>1279</v>
      </c>
      <c r="F95" s="41" t="s">
        <v>1244</v>
      </c>
      <c r="G95" s="41" t="s">
        <v>1313</v>
      </c>
      <c r="H95" s="47" t="s">
        <v>17</v>
      </c>
      <c r="I95" s="46" t="s">
        <v>73</v>
      </c>
      <c r="J95" s="48" t="s">
        <v>19</v>
      </c>
      <c r="K95" s="41" t="s">
        <v>74</v>
      </c>
      <c r="L95" s="46"/>
      <c r="M95" s="46" t="s">
        <v>76</v>
      </c>
      <c r="N95" s="46" t="s">
        <v>23</v>
      </c>
      <c r="O95" s="46" t="s">
        <v>996</v>
      </c>
    </row>
    <row r="96" spans="1:15" ht="96" customHeight="1" x14ac:dyDescent="0.25">
      <c r="A96" s="31">
        <v>1198707</v>
      </c>
      <c r="B96" s="38" t="s">
        <v>981</v>
      </c>
      <c r="C96" s="46" t="s">
        <v>1314</v>
      </c>
      <c r="D96" s="46" t="s">
        <v>1315</v>
      </c>
      <c r="E96" s="41" t="s">
        <v>1279</v>
      </c>
      <c r="F96" s="41" t="s">
        <v>1316</v>
      </c>
      <c r="G96" s="41" t="s">
        <v>1317</v>
      </c>
      <c r="H96" s="47" t="s">
        <v>17</v>
      </c>
      <c r="I96" s="46" t="s">
        <v>73</v>
      </c>
      <c r="J96" s="48" t="s">
        <v>19</v>
      </c>
      <c r="K96" s="41" t="s">
        <v>74</v>
      </c>
      <c r="L96" s="46"/>
      <c r="M96" s="46" t="s">
        <v>76</v>
      </c>
      <c r="N96" s="46" t="s">
        <v>23</v>
      </c>
      <c r="O96" s="46" t="s">
        <v>996</v>
      </c>
    </row>
    <row r="97" spans="1:15" ht="96" customHeight="1" x14ac:dyDescent="0.25">
      <c r="A97" s="31">
        <v>1198708</v>
      </c>
      <c r="B97" s="38" t="s">
        <v>981</v>
      </c>
      <c r="C97" s="46" t="s">
        <v>1318</v>
      </c>
      <c r="D97" s="46" t="s">
        <v>1319</v>
      </c>
      <c r="E97" s="41" t="s">
        <v>1279</v>
      </c>
      <c r="F97" s="41" t="s">
        <v>1244</v>
      </c>
      <c r="G97" s="41" t="s">
        <v>1320</v>
      </c>
      <c r="H97" s="47" t="s">
        <v>17</v>
      </c>
      <c r="I97" s="46" t="s">
        <v>73</v>
      </c>
      <c r="J97" s="48" t="s">
        <v>19</v>
      </c>
      <c r="K97" s="41" t="s">
        <v>74</v>
      </c>
      <c r="L97" s="46"/>
      <c r="M97" s="46" t="s">
        <v>76</v>
      </c>
      <c r="N97" s="46" t="s">
        <v>23</v>
      </c>
      <c r="O97" s="46" t="s">
        <v>996</v>
      </c>
    </row>
    <row r="98" spans="1:15" ht="96" customHeight="1" x14ac:dyDescent="0.25">
      <c r="A98" s="31">
        <v>1198709</v>
      </c>
      <c r="B98" s="38" t="s">
        <v>981</v>
      </c>
      <c r="C98" s="46" t="s">
        <v>1321</v>
      </c>
      <c r="D98" s="46" t="s">
        <v>1322</v>
      </c>
      <c r="E98" s="41" t="s">
        <v>1279</v>
      </c>
      <c r="F98" s="41" t="s">
        <v>1323</v>
      </c>
      <c r="G98" s="41" t="s">
        <v>1324</v>
      </c>
      <c r="H98" s="47" t="s">
        <v>17</v>
      </c>
      <c r="I98" s="46" t="s">
        <v>73</v>
      </c>
      <c r="J98" s="42" t="s">
        <v>103</v>
      </c>
      <c r="K98" s="41" t="s">
        <v>74</v>
      </c>
      <c r="L98" s="46"/>
      <c r="M98" s="46" t="s">
        <v>113</v>
      </c>
      <c r="N98" s="46" t="s">
        <v>23</v>
      </c>
      <c r="O98" s="46" t="s">
        <v>996</v>
      </c>
    </row>
    <row r="99" spans="1:15" ht="96" hidden="1" customHeight="1" x14ac:dyDescent="0.25">
      <c r="A99" s="31">
        <v>1198710</v>
      </c>
      <c r="B99" s="38" t="s">
        <v>981</v>
      </c>
      <c r="C99" s="46" t="s">
        <v>1325</v>
      </c>
      <c r="D99" s="46" t="s">
        <v>1326</v>
      </c>
      <c r="E99" s="41" t="s">
        <v>1327</v>
      </c>
      <c r="F99" s="41" t="s">
        <v>1328</v>
      </c>
      <c r="G99" s="41" t="s">
        <v>1329</v>
      </c>
      <c r="H99" s="47" t="s">
        <v>17</v>
      </c>
      <c r="I99" s="46" t="s">
        <v>73</v>
      </c>
      <c r="J99" s="42" t="s">
        <v>103</v>
      </c>
      <c r="K99" s="41" t="s">
        <v>74</v>
      </c>
      <c r="L99" s="46"/>
      <c r="M99" s="46" t="s">
        <v>113</v>
      </c>
      <c r="N99" s="46" t="s">
        <v>23</v>
      </c>
      <c r="O99" s="46" t="s">
        <v>996</v>
      </c>
    </row>
    <row r="100" spans="1:15" ht="82.5" hidden="1" customHeight="1" x14ac:dyDescent="0.25">
      <c r="A100" s="31">
        <v>1198713</v>
      </c>
      <c r="B100" s="38" t="s">
        <v>981</v>
      </c>
      <c r="C100" s="46" t="s">
        <v>1330</v>
      </c>
      <c r="D100" s="46" t="s">
        <v>1331</v>
      </c>
      <c r="E100" s="41" t="s">
        <v>1332</v>
      </c>
      <c r="F100" s="41" t="s">
        <v>1333</v>
      </c>
      <c r="G100" s="41" t="s">
        <v>1334</v>
      </c>
      <c r="H100" s="47" t="s">
        <v>17</v>
      </c>
      <c r="I100" s="46" t="s">
        <v>73</v>
      </c>
      <c r="J100" s="42" t="s">
        <v>103</v>
      </c>
      <c r="K100" s="41" t="s">
        <v>74</v>
      </c>
      <c r="L100" s="46"/>
      <c r="M100" s="46" t="s">
        <v>113</v>
      </c>
      <c r="N100" s="46" t="s">
        <v>23</v>
      </c>
      <c r="O100" s="46" t="s">
        <v>996</v>
      </c>
    </row>
    <row r="101" spans="1:15" ht="82.5" hidden="1" customHeight="1" x14ac:dyDescent="0.25">
      <c r="A101" s="31">
        <v>1198733</v>
      </c>
      <c r="B101" s="38" t="s">
        <v>981</v>
      </c>
      <c r="C101" s="46" t="s">
        <v>1335</v>
      </c>
      <c r="D101" s="46" t="s">
        <v>1336</v>
      </c>
      <c r="E101" s="41" t="s">
        <v>1332</v>
      </c>
      <c r="F101" s="41" t="s">
        <v>1337</v>
      </c>
      <c r="G101" s="41" t="s">
        <v>1334</v>
      </c>
      <c r="H101" s="47" t="s">
        <v>17</v>
      </c>
      <c r="I101" s="46" t="s">
        <v>73</v>
      </c>
      <c r="J101" s="42" t="s">
        <v>103</v>
      </c>
      <c r="K101" s="41" t="s">
        <v>74</v>
      </c>
      <c r="L101" s="46"/>
      <c r="M101" s="46" t="s">
        <v>113</v>
      </c>
      <c r="N101" s="46" t="s">
        <v>23</v>
      </c>
      <c r="O101" s="46" t="s">
        <v>996</v>
      </c>
    </row>
    <row r="102" spans="1:15" ht="82.5" hidden="1" customHeight="1" x14ac:dyDescent="0.25">
      <c r="A102" s="31">
        <v>1198734</v>
      </c>
      <c r="B102" s="38" t="s">
        <v>981</v>
      </c>
      <c r="C102" s="46" t="s">
        <v>1338</v>
      </c>
      <c r="D102" s="46" t="s">
        <v>1339</v>
      </c>
      <c r="E102" s="41" t="s">
        <v>1332</v>
      </c>
      <c r="F102" s="41" t="s">
        <v>1340</v>
      </c>
      <c r="G102" s="41" t="s">
        <v>1334</v>
      </c>
      <c r="H102" s="47" t="s">
        <v>17</v>
      </c>
      <c r="I102" s="46" t="s">
        <v>73</v>
      </c>
      <c r="J102" s="42" t="s">
        <v>103</v>
      </c>
      <c r="K102" s="41" t="s">
        <v>74</v>
      </c>
      <c r="L102" s="46"/>
      <c r="M102" s="46" t="s">
        <v>113</v>
      </c>
      <c r="N102" s="46" t="s">
        <v>23</v>
      </c>
      <c r="O102" s="46" t="s">
        <v>996</v>
      </c>
    </row>
    <row r="103" spans="1:15" ht="82.5" hidden="1" customHeight="1" x14ac:dyDescent="0.25">
      <c r="A103" s="31">
        <v>1198735</v>
      </c>
      <c r="B103" s="38" t="s">
        <v>981</v>
      </c>
      <c r="C103" s="46" t="s">
        <v>1341</v>
      </c>
      <c r="D103" s="46" t="s">
        <v>1342</v>
      </c>
      <c r="E103" s="41" t="s">
        <v>1332</v>
      </c>
      <c r="F103" s="41" t="s">
        <v>1343</v>
      </c>
      <c r="G103" s="41" t="s">
        <v>1334</v>
      </c>
      <c r="H103" s="47" t="s">
        <v>17</v>
      </c>
      <c r="I103" s="46" t="s">
        <v>73</v>
      </c>
      <c r="J103" s="42" t="s">
        <v>103</v>
      </c>
      <c r="K103" s="41" t="s">
        <v>74</v>
      </c>
      <c r="L103" s="46"/>
      <c r="M103" s="46" t="s">
        <v>113</v>
      </c>
      <c r="N103" s="46" t="s">
        <v>23</v>
      </c>
      <c r="O103" s="46" t="s">
        <v>996</v>
      </c>
    </row>
    <row r="104" spans="1:15" ht="82.5" hidden="1" customHeight="1" x14ac:dyDescent="0.25">
      <c r="A104" s="31">
        <v>1198736</v>
      </c>
      <c r="B104" s="38" t="s">
        <v>981</v>
      </c>
      <c r="C104" s="46" t="s">
        <v>1344</v>
      </c>
      <c r="D104" s="46" t="s">
        <v>1345</v>
      </c>
      <c r="E104" s="41" t="s">
        <v>1332</v>
      </c>
      <c r="F104" s="41" t="s">
        <v>1346</v>
      </c>
      <c r="G104" s="41" t="s">
        <v>1334</v>
      </c>
      <c r="H104" s="47" t="s">
        <v>17</v>
      </c>
      <c r="I104" s="46" t="s">
        <v>73</v>
      </c>
      <c r="J104" s="42" t="s">
        <v>103</v>
      </c>
      <c r="K104" s="41" t="s">
        <v>74</v>
      </c>
      <c r="L104" s="46"/>
      <c r="M104" s="46" t="s">
        <v>113</v>
      </c>
      <c r="N104" s="46" t="s">
        <v>23</v>
      </c>
      <c r="O104" s="46" t="s">
        <v>996</v>
      </c>
    </row>
    <row r="105" spans="1:15" ht="82.5" hidden="1" customHeight="1" x14ac:dyDescent="0.25">
      <c r="A105" s="31">
        <v>1198737</v>
      </c>
      <c r="B105" s="38" t="s">
        <v>981</v>
      </c>
      <c r="C105" s="46" t="s">
        <v>1347</v>
      </c>
      <c r="D105" s="46" t="s">
        <v>1348</v>
      </c>
      <c r="E105" s="41" t="s">
        <v>1332</v>
      </c>
      <c r="F105" s="41" t="s">
        <v>1349</v>
      </c>
      <c r="G105" s="41" t="s">
        <v>1334</v>
      </c>
      <c r="H105" s="47" t="s">
        <v>17</v>
      </c>
      <c r="I105" s="46" t="s">
        <v>73</v>
      </c>
      <c r="J105" s="42" t="s">
        <v>103</v>
      </c>
      <c r="K105" s="41" t="s">
        <v>74</v>
      </c>
      <c r="L105" s="46"/>
      <c r="M105" s="46" t="s">
        <v>113</v>
      </c>
      <c r="N105" s="46" t="s">
        <v>23</v>
      </c>
      <c r="O105" s="46" t="s">
        <v>996</v>
      </c>
    </row>
    <row r="106" spans="1:15" ht="82.5" hidden="1" customHeight="1" x14ac:dyDescent="0.25">
      <c r="A106" s="31">
        <v>1198738</v>
      </c>
      <c r="B106" s="38" t="s">
        <v>981</v>
      </c>
      <c r="C106" s="46" t="s">
        <v>1350</v>
      </c>
      <c r="D106" s="46" t="s">
        <v>1351</v>
      </c>
      <c r="E106" s="41" t="s">
        <v>1332</v>
      </c>
      <c r="F106" s="41" t="s">
        <v>1352</v>
      </c>
      <c r="G106" s="41" t="s">
        <v>1334</v>
      </c>
      <c r="H106" s="47" t="s">
        <v>17</v>
      </c>
      <c r="I106" s="46" t="s">
        <v>73</v>
      </c>
      <c r="J106" s="42" t="s">
        <v>103</v>
      </c>
      <c r="K106" s="41" t="s">
        <v>74</v>
      </c>
      <c r="L106" s="46"/>
      <c r="M106" s="46" t="s">
        <v>113</v>
      </c>
      <c r="N106" s="46" t="s">
        <v>23</v>
      </c>
      <c r="O106" s="46" t="s">
        <v>996</v>
      </c>
    </row>
    <row r="107" spans="1:15" ht="82.5" hidden="1" customHeight="1" x14ac:dyDescent="0.25">
      <c r="A107" s="31">
        <v>1198739</v>
      </c>
      <c r="B107" s="38" t="s">
        <v>981</v>
      </c>
      <c r="C107" s="46" t="s">
        <v>1353</v>
      </c>
      <c r="D107" s="46" t="s">
        <v>1354</v>
      </c>
      <c r="E107" s="41" t="s">
        <v>1332</v>
      </c>
      <c r="F107" s="41" t="s">
        <v>1355</v>
      </c>
      <c r="G107" s="41" t="s">
        <v>1334</v>
      </c>
      <c r="H107" s="47" t="s">
        <v>17</v>
      </c>
      <c r="I107" s="46" t="s">
        <v>73</v>
      </c>
      <c r="J107" s="42" t="s">
        <v>103</v>
      </c>
      <c r="K107" s="41" t="s">
        <v>74</v>
      </c>
      <c r="L107" s="46"/>
      <c r="M107" s="46" t="s">
        <v>113</v>
      </c>
      <c r="N107" s="46" t="s">
        <v>23</v>
      </c>
      <c r="O107" s="46" t="s">
        <v>996</v>
      </c>
    </row>
    <row r="108" spans="1:15" ht="82.5" hidden="1" customHeight="1" x14ac:dyDescent="0.25">
      <c r="A108" s="31">
        <v>1198740</v>
      </c>
      <c r="B108" s="38" t="s">
        <v>981</v>
      </c>
      <c r="C108" s="46" t="s">
        <v>1356</v>
      </c>
      <c r="D108" s="46" t="s">
        <v>1357</v>
      </c>
      <c r="E108" s="41" t="s">
        <v>1332</v>
      </c>
      <c r="F108" s="41" t="s">
        <v>1358</v>
      </c>
      <c r="G108" s="41" t="s">
        <v>1334</v>
      </c>
      <c r="H108" s="47" t="s">
        <v>17</v>
      </c>
      <c r="I108" s="46" t="s">
        <v>73</v>
      </c>
      <c r="J108" s="42" t="s">
        <v>103</v>
      </c>
      <c r="K108" s="41" t="s">
        <v>74</v>
      </c>
      <c r="L108" s="46"/>
      <c r="M108" s="46" t="s">
        <v>113</v>
      </c>
      <c r="N108" s="46" t="s">
        <v>23</v>
      </c>
      <c r="O108" s="46" t="s">
        <v>996</v>
      </c>
    </row>
    <row r="109" spans="1:15" ht="68.25" hidden="1" customHeight="1" x14ac:dyDescent="0.25">
      <c r="A109" s="31">
        <v>1198744</v>
      </c>
      <c r="B109" s="38" t="s">
        <v>981</v>
      </c>
      <c r="C109" s="46" t="s">
        <v>1359</v>
      </c>
      <c r="D109" s="46" t="s">
        <v>1360</v>
      </c>
      <c r="E109" s="41" t="s">
        <v>1332</v>
      </c>
      <c r="F109" s="41" t="s">
        <v>1361</v>
      </c>
      <c r="G109" s="41" t="s">
        <v>1362</v>
      </c>
      <c r="H109" s="47" t="s">
        <v>17</v>
      </c>
      <c r="I109" s="46" t="s">
        <v>73</v>
      </c>
      <c r="J109" s="42" t="s">
        <v>103</v>
      </c>
      <c r="K109" s="41" t="s">
        <v>74</v>
      </c>
      <c r="L109" s="46"/>
      <c r="M109" s="46" t="s">
        <v>113</v>
      </c>
      <c r="N109" s="46" t="s">
        <v>23</v>
      </c>
      <c r="O109" s="46" t="s">
        <v>996</v>
      </c>
    </row>
    <row r="110" spans="1:15" ht="82.5" hidden="1" customHeight="1" x14ac:dyDescent="0.25">
      <c r="A110" s="31">
        <v>1198745</v>
      </c>
      <c r="B110" s="38" t="s">
        <v>981</v>
      </c>
      <c r="C110" s="46" t="s">
        <v>1363</v>
      </c>
      <c r="D110" s="46" t="s">
        <v>1364</v>
      </c>
      <c r="E110" s="41" t="s">
        <v>1332</v>
      </c>
      <c r="F110" s="41" t="s">
        <v>1365</v>
      </c>
      <c r="G110" s="41" t="s">
        <v>1334</v>
      </c>
      <c r="H110" s="47" t="s">
        <v>17</v>
      </c>
      <c r="I110" s="46" t="s">
        <v>73</v>
      </c>
      <c r="J110" s="42" t="s">
        <v>103</v>
      </c>
      <c r="K110" s="41" t="s">
        <v>74</v>
      </c>
      <c r="L110" s="46"/>
      <c r="M110" s="46" t="s">
        <v>113</v>
      </c>
      <c r="N110" s="46" t="s">
        <v>23</v>
      </c>
      <c r="O110" s="46" t="s">
        <v>996</v>
      </c>
    </row>
    <row r="111" spans="1:15" ht="82.5" hidden="1" customHeight="1" x14ac:dyDescent="0.25">
      <c r="A111" s="31">
        <v>1198746</v>
      </c>
      <c r="B111" s="38" t="s">
        <v>981</v>
      </c>
      <c r="C111" s="46" t="s">
        <v>1366</v>
      </c>
      <c r="D111" s="46" t="s">
        <v>1367</v>
      </c>
      <c r="E111" s="41" t="s">
        <v>1332</v>
      </c>
      <c r="F111" s="41" t="s">
        <v>1368</v>
      </c>
      <c r="G111" s="41" t="s">
        <v>1334</v>
      </c>
      <c r="H111" s="47" t="s">
        <v>17</v>
      </c>
      <c r="I111" s="46" t="s">
        <v>73</v>
      </c>
      <c r="J111" s="42" t="s">
        <v>103</v>
      </c>
      <c r="K111" s="41" t="s">
        <v>74</v>
      </c>
      <c r="L111" s="46"/>
      <c r="M111" s="46" t="s">
        <v>113</v>
      </c>
      <c r="N111" s="46" t="s">
        <v>23</v>
      </c>
      <c r="O111" s="46" t="s">
        <v>996</v>
      </c>
    </row>
    <row r="112" spans="1:15" ht="68.25" hidden="1" customHeight="1" x14ac:dyDescent="0.25">
      <c r="A112" s="31">
        <v>1198747</v>
      </c>
      <c r="B112" s="38" t="s">
        <v>981</v>
      </c>
      <c r="C112" s="46" t="s">
        <v>1369</v>
      </c>
      <c r="D112" s="46" t="s">
        <v>1370</v>
      </c>
      <c r="E112" s="41" t="s">
        <v>1332</v>
      </c>
      <c r="F112" s="41" t="s">
        <v>1371</v>
      </c>
      <c r="G112" s="41" t="s">
        <v>1372</v>
      </c>
      <c r="H112" s="47" t="s">
        <v>17</v>
      </c>
      <c r="I112" s="46" t="s">
        <v>73</v>
      </c>
      <c r="J112" s="42" t="s">
        <v>103</v>
      </c>
      <c r="K112" s="41" t="s">
        <v>74</v>
      </c>
      <c r="L112" s="46"/>
      <c r="M112" s="46" t="s">
        <v>113</v>
      </c>
      <c r="N112" s="46" t="s">
        <v>23</v>
      </c>
      <c r="O112" s="46" t="s">
        <v>996</v>
      </c>
    </row>
    <row r="113" spans="1:15" ht="96" customHeight="1" x14ac:dyDescent="0.25">
      <c r="A113" s="31">
        <v>1198748</v>
      </c>
      <c r="B113" s="38" t="s">
        <v>981</v>
      </c>
      <c r="C113" s="46" t="s">
        <v>1373</v>
      </c>
      <c r="D113" s="46" t="s">
        <v>1374</v>
      </c>
      <c r="E113" s="41" t="s">
        <v>1332</v>
      </c>
      <c r="F113" s="41" t="s">
        <v>1375</v>
      </c>
      <c r="G113" s="41" t="s">
        <v>1334</v>
      </c>
      <c r="H113" s="47" t="s">
        <v>17</v>
      </c>
      <c r="I113" s="46" t="s">
        <v>73</v>
      </c>
      <c r="J113" s="42" t="s">
        <v>103</v>
      </c>
      <c r="K113" s="41" t="s">
        <v>74</v>
      </c>
      <c r="L113" s="46"/>
      <c r="M113" s="46" t="s">
        <v>113</v>
      </c>
      <c r="N113" s="46" t="s">
        <v>23</v>
      </c>
      <c r="O113" s="46" t="s">
        <v>996</v>
      </c>
    </row>
    <row r="114" spans="1:15" ht="68.25" hidden="1" customHeight="1" x14ac:dyDescent="0.25">
      <c r="A114" s="31">
        <v>1198749</v>
      </c>
      <c r="B114" s="38" t="s">
        <v>981</v>
      </c>
      <c r="C114" s="46" t="s">
        <v>1376</v>
      </c>
      <c r="D114" s="46" t="s">
        <v>1377</v>
      </c>
      <c r="E114" s="41" t="s">
        <v>1332</v>
      </c>
      <c r="F114" s="41" t="s">
        <v>1378</v>
      </c>
      <c r="G114" s="41" t="s">
        <v>1362</v>
      </c>
      <c r="H114" s="47" t="s">
        <v>17</v>
      </c>
      <c r="I114" s="46" t="s">
        <v>73</v>
      </c>
      <c r="J114" s="42" t="s">
        <v>103</v>
      </c>
      <c r="K114" s="41" t="s">
        <v>74</v>
      </c>
      <c r="L114" s="46"/>
      <c r="M114" s="46" t="s">
        <v>113</v>
      </c>
      <c r="N114" s="46" t="s">
        <v>23</v>
      </c>
      <c r="O114" s="46" t="s">
        <v>996</v>
      </c>
    </row>
    <row r="115" spans="1:15" ht="68.25" hidden="1" customHeight="1" x14ac:dyDescent="0.25">
      <c r="A115" s="31">
        <v>1198750</v>
      </c>
      <c r="B115" s="38" t="s">
        <v>981</v>
      </c>
      <c r="C115" s="46" t="s">
        <v>1379</v>
      </c>
      <c r="D115" s="46" t="s">
        <v>1380</v>
      </c>
      <c r="E115" s="41" t="s">
        <v>1332</v>
      </c>
      <c r="F115" s="41" t="s">
        <v>1381</v>
      </c>
      <c r="G115" s="41" t="s">
        <v>1362</v>
      </c>
      <c r="H115" s="47" t="s">
        <v>17</v>
      </c>
      <c r="I115" s="46" t="s">
        <v>73</v>
      </c>
      <c r="J115" s="42" t="s">
        <v>103</v>
      </c>
      <c r="K115" s="41" t="s">
        <v>74</v>
      </c>
      <c r="L115" s="46"/>
      <c r="M115" s="46" t="s">
        <v>113</v>
      </c>
      <c r="N115" s="46" t="s">
        <v>23</v>
      </c>
      <c r="O115" s="46" t="s">
        <v>996</v>
      </c>
    </row>
    <row r="116" spans="1:15" ht="68.25" hidden="1" customHeight="1" x14ac:dyDescent="0.25">
      <c r="A116" s="31">
        <v>1198751</v>
      </c>
      <c r="B116" s="38" t="s">
        <v>981</v>
      </c>
      <c r="C116" s="46" t="s">
        <v>1382</v>
      </c>
      <c r="D116" s="46" t="s">
        <v>1383</v>
      </c>
      <c r="E116" s="41" t="s">
        <v>1332</v>
      </c>
      <c r="F116" s="41" t="s">
        <v>1384</v>
      </c>
      <c r="G116" s="41" t="s">
        <v>1385</v>
      </c>
      <c r="H116" s="47" t="s">
        <v>17</v>
      </c>
      <c r="I116" s="46" t="s">
        <v>73</v>
      </c>
      <c r="J116" s="42" t="s">
        <v>103</v>
      </c>
      <c r="K116" s="41" t="s">
        <v>74</v>
      </c>
      <c r="L116" s="46"/>
      <c r="M116" s="46" t="s">
        <v>113</v>
      </c>
      <c r="N116" s="46" t="s">
        <v>23</v>
      </c>
      <c r="O116" s="46" t="s">
        <v>996</v>
      </c>
    </row>
    <row r="117" spans="1:15" ht="68.25" hidden="1" customHeight="1" x14ac:dyDescent="0.25">
      <c r="A117" s="31">
        <v>1198752</v>
      </c>
      <c r="B117" s="38" t="s">
        <v>981</v>
      </c>
      <c r="C117" s="46" t="s">
        <v>1386</v>
      </c>
      <c r="D117" s="46" t="s">
        <v>1387</v>
      </c>
      <c r="E117" s="41" t="s">
        <v>1332</v>
      </c>
      <c r="F117" s="41" t="s">
        <v>1388</v>
      </c>
      <c r="G117" s="41" t="s">
        <v>1362</v>
      </c>
      <c r="H117" s="47" t="s">
        <v>17</v>
      </c>
      <c r="I117" s="46" t="s">
        <v>73</v>
      </c>
      <c r="J117" s="42" t="s">
        <v>103</v>
      </c>
      <c r="K117" s="41" t="s">
        <v>74</v>
      </c>
      <c r="L117" s="46"/>
      <c r="M117" s="46" t="s">
        <v>113</v>
      </c>
      <c r="N117" s="46" t="s">
        <v>23</v>
      </c>
      <c r="O117" s="46" t="s">
        <v>996</v>
      </c>
    </row>
    <row r="118" spans="1:15" ht="68.25" hidden="1" customHeight="1" x14ac:dyDescent="0.25">
      <c r="A118" s="31">
        <v>1198753</v>
      </c>
      <c r="B118" s="38" t="s">
        <v>981</v>
      </c>
      <c r="C118" s="46" t="s">
        <v>1389</v>
      </c>
      <c r="D118" s="46" t="s">
        <v>1390</v>
      </c>
      <c r="E118" s="41" t="s">
        <v>1332</v>
      </c>
      <c r="F118" s="41" t="s">
        <v>1391</v>
      </c>
      <c r="G118" s="41" t="s">
        <v>1392</v>
      </c>
      <c r="H118" s="47" t="s">
        <v>17</v>
      </c>
      <c r="I118" s="46" t="s">
        <v>73</v>
      </c>
      <c r="J118" s="42" t="s">
        <v>103</v>
      </c>
      <c r="K118" s="41" t="s">
        <v>74</v>
      </c>
      <c r="L118" s="46"/>
      <c r="M118" s="46" t="s">
        <v>113</v>
      </c>
      <c r="N118" s="46" t="s">
        <v>23</v>
      </c>
      <c r="O118" s="46" t="s">
        <v>996</v>
      </c>
    </row>
    <row r="119" spans="1:15" ht="68.25" hidden="1" customHeight="1" x14ac:dyDescent="0.25">
      <c r="A119" s="31">
        <v>1198754</v>
      </c>
      <c r="B119" s="38" t="s">
        <v>981</v>
      </c>
      <c r="C119" s="46" t="s">
        <v>1393</v>
      </c>
      <c r="D119" s="46" t="s">
        <v>1394</v>
      </c>
      <c r="E119" s="41" t="s">
        <v>1332</v>
      </c>
      <c r="F119" s="41" t="s">
        <v>1395</v>
      </c>
      <c r="G119" s="41" t="s">
        <v>1396</v>
      </c>
      <c r="H119" s="47" t="s">
        <v>17</v>
      </c>
      <c r="I119" s="46" t="s">
        <v>73</v>
      </c>
      <c r="J119" s="42" t="s">
        <v>103</v>
      </c>
      <c r="K119" s="41" t="s">
        <v>74</v>
      </c>
      <c r="L119" s="46"/>
      <c r="M119" s="46" t="s">
        <v>113</v>
      </c>
      <c r="N119" s="46" t="s">
        <v>23</v>
      </c>
      <c r="O119" s="46" t="s">
        <v>996</v>
      </c>
    </row>
    <row r="120" spans="1:15" ht="82.5" hidden="1" customHeight="1" x14ac:dyDescent="0.25">
      <c r="A120" s="31">
        <v>1198755</v>
      </c>
      <c r="B120" s="38" t="s">
        <v>981</v>
      </c>
      <c r="C120" s="46" t="s">
        <v>1397</v>
      </c>
      <c r="D120" s="46" t="s">
        <v>1398</v>
      </c>
      <c r="E120" s="41" t="s">
        <v>1332</v>
      </c>
      <c r="F120" s="41" t="s">
        <v>1399</v>
      </c>
      <c r="G120" s="41" t="s">
        <v>1334</v>
      </c>
      <c r="H120" s="47" t="s">
        <v>17</v>
      </c>
      <c r="I120" s="46" t="s">
        <v>73</v>
      </c>
      <c r="J120" s="42" t="s">
        <v>103</v>
      </c>
      <c r="K120" s="41" t="s">
        <v>74</v>
      </c>
      <c r="L120" s="46"/>
      <c r="M120" s="46" t="s">
        <v>113</v>
      </c>
      <c r="N120" s="46" t="s">
        <v>23</v>
      </c>
      <c r="O120" s="46" t="s">
        <v>996</v>
      </c>
    </row>
    <row r="121" spans="1:15" ht="77.25" hidden="1" customHeight="1" x14ac:dyDescent="0.25">
      <c r="A121" s="31">
        <v>1198756</v>
      </c>
      <c r="B121" s="38" t="s">
        <v>981</v>
      </c>
      <c r="C121" s="46" t="s">
        <v>1400</v>
      </c>
      <c r="D121" s="46" t="s">
        <v>1401</v>
      </c>
      <c r="E121" s="43" t="s">
        <v>1332</v>
      </c>
      <c r="F121" s="41" t="s">
        <v>1138</v>
      </c>
      <c r="G121" s="41" t="s">
        <v>1402</v>
      </c>
      <c r="H121" s="47" t="s">
        <v>17</v>
      </c>
      <c r="I121" s="46" t="s">
        <v>73</v>
      </c>
      <c r="J121" s="42" t="s">
        <v>103</v>
      </c>
      <c r="K121" s="41" t="s">
        <v>74</v>
      </c>
      <c r="L121" s="46"/>
      <c r="M121" s="46" t="s">
        <v>113</v>
      </c>
      <c r="N121" s="46" t="s">
        <v>23</v>
      </c>
      <c r="O121" s="46" t="s">
        <v>996</v>
      </c>
    </row>
    <row r="122" spans="1:15" ht="93" hidden="1" customHeight="1" x14ac:dyDescent="0.25">
      <c r="A122" s="31">
        <v>1198757</v>
      </c>
      <c r="B122" s="38" t="s">
        <v>981</v>
      </c>
      <c r="C122" s="46" t="s">
        <v>1403</v>
      </c>
      <c r="D122" s="46" t="s">
        <v>1404</v>
      </c>
      <c r="E122" s="43" t="s">
        <v>1405</v>
      </c>
      <c r="F122" s="41" t="s">
        <v>985</v>
      </c>
      <c r="G122" s="41" t="s">
        <v>986</v>
      </c>
      <c r="H122" s="47" t="s">
        <v>17</v>
      </c>
      <c r="I122" s="46" t="s">
        <v>73</v>
      </c>
      <c r="J122" s="40" t="s">
        <v>506</v>
      </c>
      <c r="K122" s="41" t="s">
        <v>74</v>
      </c>
      <c r="L122" s="46"/>
      <c r="M122" s="46" t="s">
        <v>22</v>
      </c>
      <c r="N122" s="46" t="s">
        <v>23</v>
      </c>
      <c r="O122" s="46" t="s">
        <v>996</v>
      </c>
    </row>
    <row r="123" spans="1:15" ht="93" hidden="1" customHeight="1" x14ac:dyDescent="0.25">
      <c r="A123" s="31">
        <v>1198758</v>
      </c>
      <c r="B123" s="38" t="s">
        <v>981</v>
      </c>
      <c r="C123" s="46" t="s">
        <v>1406</v>
      </c>
      <c r="D123" s="46" t="s">
        <v>1407</v>
      </c>
      <c r="E123" s="43" t="s">
        <v>1405</v>
      </c>
      <c r="F123" s="41" t="s">
        <v>990</v>
      </c>
      <c r="G123" s="41" t="s">
        <v>991</v>
      </c>
      <c r="H123" s="47" t="s">
        <v>17</v>
      </c>
      <c r="I123" s="46" t="s">
        <v>73</v>
      </c>
      <c r="J123" s="40" t="s">
        <v>506</v>
      </c>
      <c r="K123" s="41" t="s">
        <v>74</v>
      </c>
      <c r="L123" s="46"/>
      <c r="M123" s="46" t="s">
        <v>22</v>
      </c>
      <c r="N123" s="46" t="s">
        <v>23</v>
      </c>
      <c r="O123" s="46" t="s">
        <v>996</v>
      </c>
    </row>
    <row r="124" spans="1:15" ht="93" hidden="1" customHeight="1" x14ac:dyDescent="0.25">
      <c r="A124" s="31">
        <v>1198759</v>
      </c>
      <c r="B124" s="38" t="s">
        <v>981</v>
      </c>
      <c r="C124" s="46" t="s">
        <v>1408</v>
      </c>
      <c r="D124" s="46" t="s">
        <v>1409</v>
      </c>
      <c r="E124" s="43" t="s">
        <v>1405</v>
      </c>
      <c r="F124" s="41" t="s">
        <v>994</v>
      </c>
      <c r="G124" s="41" t="s">
        <v>995</v>
      </c>
      <c r="H124" s="47" t="s">
        <v>17</v>
      </c>
      <c r="I124" s="46" t="s">
        <v>73</v>
      </c>
      <c r="J124" s="40" t="s">
        <v>506</v>
      </c>
      <c r="K124" s="41" t="s">
        <v>74</v>
      </c>
      <c r="L124" s="46"/>
      <c r="M124" s="46" t="s">
        <v>22</v>
      </c>
      <c r="N124" s="46" t="s">
        <v>23</v>
      </c>
      <c r="O124" s="46" t="s">
        <v>996</v>
      </c>
    </row>
    <row r="125" spans="1:15" ht="93" hidden="1" customHeight="1" x14ac:dyDescent="0.25">
      <c r="A125" s="31">
        <v>1198760</v>
      </c>
      <c r="B125" s="38" t="s">
        <v>981</v>
      </c>
      <c r="C125" s="46" t="s">
        <v>1410</v>
      </c>
      <c r="D125" s="46" t="s">
        <v>1411</v>
      </c>
      <c r="E125" s="43" t="s">
        <v>1405</v>
      </c>
      <c r="F125" s="41" t="s">
        <v>999</v>
      </c>
      <c r="G125" s="41" t="s">
        <v>1000</v>
      </c>
      <c r="H125" s="47" t="s">
        <v>17</v>
      </c>
      <c r="I125" s="46" t="s">
        <v>73</v>
      </c>
      <c r="J125" s="42" t="s">
        <v>103</v>
      </c>
      <c r="K125" s="41" t="s">
        <v>74</v>
      </c>
      <c r="L125" s="46"/>
      <c r="M125" s="46" t="s">
        <v>113</v>
      </c>
      <c r="N125" s="46" t="s">
        <v>23</v>
      </c>
      <c r="O125" s="46" t="s">
        <v>996</v>
      </c>
    </row>
    <row r="126" spans="1:15" ht="93" hidden="1" customHeight="1" x14ac:dyDescent="0.25">
      <c r="A126" s="31">
        <v>1198761</v>
      </c>
      <c r="B126" s="38" t="s">
        <v>981</v>
      </c>
      <c r="C126" s="46" t="s">
        <v>1412</v>
      </c>
      <c r="D126" s="46" t="s">
        <v>1413</v>
      </c>
      <c r="E126" s="43" t="s">
        <v>1405</v>
      </c>
      <c r="F126" s="41" t="s">
        <v>1003</v>
      </c>
      <c r="G126" s="41" t="s">
        <v>1004</v>
      </c>
      <c r="H126" s="47" t="s">
        <v>17</v>
      </c>
      <c r="I126" s="46" t="s">
        <v>73</v>
      </c>
      <c r="J126" s="40" t="s">
        <v>506</v>
      </c>
      <c r="K126" s="41" t="s">
        <v>74</v>
      </c>
      <c r="L126" s="46"/>
      <c r="M126" s="46" t="s">
        <v>22</v>
      </c>
      <c r="N126" s="46" t="s">
        <v>23</v>
      </c>
      <c r="O126" s="46" t="s">
        <v>996</v>
      </c>
    </row>
    <row r="127" spans="1:15" ht="93" hidden="1" customHeight="1" x14ac:dyDescent="0.25">
      <c r="A127" s="31">
        <v>1198762</v>
      </c>
      <c r="B127" s="38" t="s">
        <v>981</v>
      </c>
      <c r="C127" s="46" t="s">
        <v>1414</v>
      </c>
      <c r="D127" s="46" t="s">
        <v>1415</v>
      </c>
      <c r="E127" s="43" t="s">
        <v>1405</v>
      </c>
      <c r="F127" s="41" t="s">
        <v>1007</v>
      </c>
      <c r="G127" s="41" t="s">
        <v>1008</v>
      </c>
      <c r="H127" s="47" t="s">
        <v>17</v>
      </c>
      <c r="I127" s="46" t="s">
        <v>73</v>
      </c>
      <c r="J127" s="40" t="s">
        <v>506</v>
      </c>
      <c r="K127" s="41" t="s">
        <v>74</v>
      </c>
      <c r="L127" s="46"/>
      <c r="M127" s="46" t="s">
        <v>22</v>
      </c>
      <c r="N127" s="46" t="s">
        <v>23</v>
      </c>
      <c r="O127" s="46" t="s">
        <v>996</v>
      </c>
    </row>
    <row r="128" spans="1:15" ht="89.25" hidden="1" customHeight="1" x14ac:dyDescent="0.25">
      <c r="A128" s="31">
        <v>1198763</v>
      </c>
      <c r="B128" s="38" t="s">
        <v>981</v>
      </c>
      <c r="C128" s="46" t="s">
        <v>1416</v>
      </c>
      <c r="D128" s="46" t="s">
        <v>1010</v>
      </c>
      <c r="E128" s="43" t="s">
        <v>1048</v>
      </c>
      <c r="F128" s="41" t="s">
        <v>1011</v>
      </c>
      <c r="G128" s="41" t="s">
        <v>1012</v>
      </c>
      <c r="H128" s="47" t="s">
        <v>17</v>
      </c>
      <c r="I128" s="46" t="s">
        <v>73</v>
      </c>
      <c r="J128" s="40" t="s">
        <v>506</v>
      </c>
      <c r="K128" s="41" t="s">
        <v>74</v>
      </c>
      <c r="L128" s="46"/>
      <c r="M128" s="46" t="s">
        <v>22</v>
      </c>
      <c r="N128" s="46" t="s">
        <v>23</v>
      </c>
      <c r="O128" s="46" t="s">
        <v>996</v>
      </c>
    </row>
    <row r="129" spans="1:15" ht="74.25" hidden="1" customHeight="1" x14ac:dyDescent="0.25">
      <c r="A129" s="31">
        <v>1198764</v>
      </c>
      <c r="B129" s="38" t="s">
        <v>981</v>
      </c>
      <c r="C129" s="46" t="s">
        <v>1417</v>
      </c>
      <c r="D129" s="46" t="s">
        <v>1418</v>
      </c>
      <c r="E129" s="43" t="s">
        <v>1405</v>
      </c>
      <c r="F129" s="41" t="s">
        <v>1015</v>
      </c>
      <c r="G129" s="41" t="s">
        <v>1016</v>
      </c>
      <c r="H129" s="47" t="s">
        <v>17</v>
      </c>
      <c r="I129" s="46" t="s">
        <v>73</v>
      </c>
      <c r="J129" s="40" t="s">
        <v>506</v>
      </c>
      <c r="K129" s="41" t="s">
        <v>74</v>
      </c>
      <c r="L129" s="46"/>
      <c r="M129" s="46" t="s">
        <v>22</v>
      </c>
      <c r="N129" s="46" t="s">
        <v>23</v>
      </c>
      <c r="O129" s="46" t="s">
        <v>996</v>
      </c>
    </row>
    <row r="130" spans="1:15" ht="73.5" hidden="1" customHeight="1" x14ac:dyDescent="0.25">
      <c r="A130" s="31">
        <v>1198765</v>
      </c>
      <c r="B130" s="38" t="s">
        <v>981</v>
      </c>
      <c r="C130" s="46" t="s">
        <v>1419</v>
      </c>
      <c r="D130" s="46" t="s">
        <v>1420</v>
      </c>
      <c r="E130" s="43" t="s">
        <v>1405</v>
      </c>
      <c r="F130" s="41" t="s">
        <v>1023</v>
      </c>
      <c r="G130" s="41" t="s">
        <v>1024</v>
      </c>
      <c r="H130" s="47" t="s">
        <v>17</v>
      </c>
      <c r="I130" s="46" t="s">
        <v>73</v>
      </c>
      <c r="J130" s="40" t="s">
        <v>506</v>
      </c>
      <c r="K130" s="41" t="s">
        <v>74</v>
      </c>
      <c r="L130" s="46"/>
      <c r="M130" s="46" t="s">
        <v>22</v>
      </c>
      <c r="N130" s="46" t="s">
        <v>23</v>
      </c>
      <c r="O130" s="46" t="s">
        <v>996</v>
      </c>
    </row>
    <row r="131" spans="1:15" ht="92.25" hidden="1" customHeight="1" x14ac:dyDescent="0.25">
      <c r="A131" s="31">
        <v>1198766</v>
      </c>
      <c r="B131" s="38" t="s">
        <v>981</v>
      </c>
      <c r="C131" s="46" t="s">
        <v>1421</v>
      </c>
      <c r="D131" s="46" t="s">
        <v>1422</v>
      </c>
      <c r="E131" s="43" t="s">
        <v>1405</v>
      </c>
      <c r="F131" s="41" t="s">
        <v>1027</v>
      </c>
      <c r="G131" s="41" t="s">
        <v>1028</v>
      </c>
      <c r="H131" s="47" t="s">
        <v>17</v>
      </c>
      <c r="I131" s="46" t="s">
        <v>73</v>
      </c>
      <c r="J131" s="40" t="s">
        <v>506</v>
      </c>
      <c r="K131" s="41" t="s">
        <v>74</v>
      </c>
      <c r="L131" s="46"/>
      <c r="M131" s="46" t="s">
        <v>22</v>
      </c>
      <c r="N131" s="46" t="s">
        <v>23</v>
      </c>
      <c r="O131" s="46" t="s">
        <v>996</v>
      </c>
    </row>
    <row r="132" spans="1:15" ht="85.5" hidden="1" customHeight="1" x14ac:dyDescent="0.25">
      <c r="A132" s="31">
        <v>1198767</v>
      </c>
      <c r="B132" s="38" t="s">
        <v>981</v>
      </c>
      <c r="C132" s="46" t="s">
        <v>1423</v>
      </c>
      <c r="D132" s="46" t="s">
        <v>1424</v>
      </c>
      <c r="E132" s="43" t="s">
        <v>1405</v>
      </c>
      <c r="F132" s="41" t="s">
        <v>1031</v>
      </c>
      <c r="G132" s="41" t="s">
        <v>1032</v>
      </c>
      <c r="H132" s="47" t="s">
        <v>17</v>
      </c>
      <c r="I132" s="46" t="s">
        <v>73</v>
      </c>
      <c r="J132" s="40" t="s">
        <v>506</v>
      </c>
      <c r="K132" s="41" t="s">
        <v>74</v>
      </c>
      <c r="L132" s="46"/>
      <c r="M132" s="46" t="s">
        <v>22</v>
      </c>
      <c r="N132" s="46" t="s">
        <v>23</v>
      </c>
      <c r="O132" s="46" t="s">
        <v>996</v>
      </c>
    </row>
    <row r="133" spans="1:15" ht="43.5" hidden="1" customHeight="1" x14ac:dyDescent="0.25">
      <c r="A133" s="31">
        <v>1198769</v>
      </c>
      <c r="B133" s="38" t="s">
        <v>981</v>
      </c>
      <c r="C133" s="46" t="s">
        <v>1425</v>
      </c>
      <c r="D133" s="46" t="s">
        <v>1426</v>
      </c>
      <c r="E133" s="43" t="s">
        <v>1427</v>
      </c>
      <c r="F133" s="41" t="s">
        <v>1036</v>
      </c>
      <c r="G133" s="41" t="s">
        <v>1037</v>
      </c>
      <c r="H133" s="47" t="s">
        <v>17</v>
      </c>
      <c r="I133" s="46" t="s">
        <v>73</v>
      </c>
      <c r="J133" s="40" t="s">
        <v>506</v>
      </c>
      <c r="K133" s="41" t="s">
        <v>74</v>
      </c>
      <c r="L133" s="46"/>
      <c r="M133" s="46" t="s">
        <v>22</v>
      </c>
      <c r="N133" s="46" t="s">
        <v>23</v>
      </c>
      <c r="O133" s="46" t="s">
        <v>996</v>
      </c>
    </row>
    <row r="134" spans="1:15" ht="42" hidden="1" customHeight="1" x14ac:dyDescent="0.25">
      <c r="A134" s="31">
        <v>1198770</v>
      </c>
      <c r="B134" s="38" t="s">
        <v>981</v>
      </c>
      <c r="C134" s="46" t="s">
        <v>1428</v>
      </c>
      <c r="D134" s="46" t="s">
        <v>1429</v>
      </c>
      <c r="E134" s="43" t="s">
        <v>1427</v>
      </c>
      <c r="F134" s="41" t="s">
        <v>1040</v>
      </c>
      <c r="G134" s="41" t="s">
        <v>1041</v>
      </c>
      <c r="H134" s="47" t="s">
        <v>17</v>
      </c>
      <c r="I134" s="46" t="s">
        <v>73</v>
      </c>
      <c r="J134" s="40" t="s">
        <v>506</v>
      </c>
      <c r="K134" s="41" t="s">
        <v>74</v>
      </c>
      <c r="L134" s="46"/>
      <c r="M134" s="46" t="s">
        <v>22</v>
      </c>
      <c r="N134" s="46" t="s">
        <v>23</v>
      </c>
      <c r="O134" s="46" t="s">
        <v>996</v>
      </c>
    </row>
    <row r="135" spans="1:15" ht="45.75" hidden="1" customHeight="1" x14ac:dyDescent="0.25">
      <c r="A135" s="31">
        <v>1198771</v>
      </c>
      <c r="B135" s="38" t="s">
        <v>981</v>
      </c>
      <c r="C135" s="46" t="s">
        <v>1430</v>
      </c>
      <c r="D135" s="46" t="s">
        <v>1431</v>
      </c>
      <c r="E135" s="43" t="s">
        <v>1427</v>
      </c>
      <c r="F135" s="41" t="s">
        <v>1044</v>
      </c>
      <c r="G135" s="41" t="s">
        <v>1045</v>
      </c>
      <c r="H135" s="47" t="s">
        <v>17</v>
      </c>
      <c r="I135" s="46" t="s">
        <v>73</v>
      </c>
      <c r="J135" s="40" t="s">
        <v>506</v>
      </c>
      <c r="K135" s="41" t="s">
        <v>74</v>
      </c>
      <c r="L135" s="46"/>
      <c r="M135" s="46" t="s">
        <v>22</v>
      </c>
      <c r="N135" s="46" t="s">
        <v>23</v>
      </c>
      <c r="O135" s="46" t="s">
        <v>996</v>
      </c>
    </row>
    <row r="136" spans="1:15" ht="60" hidden="1" customHeight="1" x14ac:dyDescent="0.25">
      <c r="A136" s="31">
        <v>1198772</v>
      </c>
      <c r="B136" s="38" t="s">
        <v>981</v>
      </c>
      <c r="C136" s="46" t="s">
        <v>1432</v>
      </c>
      <c r="D136" s="46" t="s">
        <v>1433</v>
      </c>
      <c r="E136" s="41" t="s">
        <v>1405</v>
      </c>
      <c r="F136" s="41" t="s">
        <v>1049</v>
      </c>
      <c r="G136" s="41" t="s">
        <v>1050</v>
      </c>
      <c r="H136" s="47" t="s">
        <v>17</v>
      </c>
      <c r="I136" s="46" t="s">
        <v>73</v>
      </c>
      <c r="J136" s="40" t="s">
        <v>506</v>
      </c>
      <c r="K136" s="41" t="s">
        <v>74</v>
      </c>
      <c r="L136" s="46"/>
      <c r="M136" s="46" t="s">
        <v>22</v>
      </c>
      <c r="N136" s="46" t="s">
        <v>23</v>
      </c>
      <c r="O136" s="46" t="s">
        <v>996</v>
      </c>
    </row>
    <row r="137" spans="1:15" ht="82.5" hidden="1" customHeight="1" x14ac:dyDescent="0.25">
      <c r="A137" s="31">
        <v>1198773</v>
      </c>
      <c r="B137" s="38" t="s">
        <v>981</v>
      </c>
      <c r="C137" s="46" t="s">
        <v>1434</v>
      </c>
      <c r="D137" s="46" t="s">
        <v>1435</v>
      </c>
      <c r="E137" s="41" t="s">
        <v>1405</v>
      </c>
      <c r="F137" s="41" t="s">
        <v>1053</v>
      </c>
      <c r="G137" s="41" t="s">
        <v>1054</v>
      </c>
      <c r="H137" s="47" t="s">
        <v>17</v>
      </c>
      <c r="I137" s="46" t="s">
        <v>73</v>
      </c>
      <c r="J137" s="40" t="s">
        <v>506</v>
      </c>
      <c r="K137" s="41" t="s">
        <v>74</v>
      </c>
      <c r="L137" s="46"/>
      <c r="M137" s="46" t="s">
        <v>22</v>
      </c>
      <c r="N137" s="46" t="s">
        <v>23</v>
      </c>
      <c r="O137" s="46" t="s">
        <v>996</v>
      </c>
    </row>
    <row r="138" spans="1:15" ht="82.5" hidden="1" customHeight="1" x14ac:dyDescent="0.25">
      <c r="A138" s="31">
        <v>1198774</v>
      </c>
      <c r="B138" s="38" t="s">
        <v>981</v>
      </c>
      <c r="C138" s="46" t="s">
        <v>1436</v>
      </c>
      <c r="D138" s="46" t="s">
        <v>1437</v>
      </c>
      <c r="E138" s="41" t="s">
        <v>1405</v>
      </c>
      <c r="F138" s="41" t="s">
        <v>1057</v>
      </c>
      <c r="G138" s="41" t="s">
        <v>1058</v>
      </c>
      <c r="H138" s="47" t="s">
        <v>17</v>
      </c>
      <c r="I138" s="46" t="s">
        <v>73</v>
      </c>
      <c r="J138" s="40" t="s">
        <v>506</v>
      </c>
      <c r="K138" s="41" t="s">
        <v>74</v>
      </c>
      <c r="L138" s="46"/>
      <c r="M138" s="46" t="s">
        <v>22</v>
      </c>
      <c r="N138" s="46" t="s">
        <v>23</v>
      </c>
      <c r="O138" s="46" t="s">
        <v>996</v>
      </c>
    </row>
    <row r="139" spans="1:15" ht="82.5" hidden="1" customHeight="1" x14ac:dyDescent="0.25">
      <c r="A139" s="31">
        <v>1198775</v>
      </c>
      <c r="B139" s="38" t="s">
        <v>981</v>
      </c>
      <c r="C139" s="46" t="s">
        <v>1438</v>
      </c>
      <c r="D139" s="46" t="s">
        <v>1439</v>
      </c>
      <c r="E139" s="41" t="s">
        <v>1405</v>
      </c>
      <c r="F139" s="41" t="s">
        <v>1061</v>
      </c>
      <c r="G139" s="41" t="s">
        <v>1062</v>
      </c>
      <c r="H139" s="47" t="s">
        <v>17</v>
      </c>
      <c r="I139" s="46" t="s">
        <v>73</v>
      </c>
      <c r="J139" s="42" t="s">
        <v>103</v>
      </c>
      <c r="K139" s="41" t="s">
        <v>74</v>
      </c>
      <c r="L139" s="46"/>
      <c r="M139" s="46" t="s">
        <v>113</v>
      </c>
      <c r="N139" s="46" t="s">
        <v>23</v>
      </c>
      <c r="O139" s="46" t="s">
        <v>996</v>
      </c>
    </row>
    <row r="140" spans="1:15" ht="82.5" hidden="1" customHeight="1" x14ac:dyDescent="0.25">
      <c r="A140" s="31">
        <v>1198777</v>
      </c>
      <c r="B140" s="38" t="s">
        <v>981</v>
      </c>
      <c r="C140" s="46" t="s">
        <v>1440</v>
      </c>
      <c r="D140" s="46" t="s">
        <v>1441</v>
      </c>
      <c r="E140" s="41" t="s">
        <v>1405</v>
      </c>
      <c r="F140" s="41" t="s">
        <v>1065</v>
      </c>
      <c r="G140" s="41" t="s">
        <v>1066</v>
      </c>
      <c r="H140" s="47" t="s">
        <v>17</v>
      </c>
      <c r="I140" s="46" t="s">
        <v>73</v>
      </c>
      <c r="J140" s="42" t="s">
        <v>103</v>
      </c>
      <c r="K140" s="41" t="s">
        <v>74</v>
      </c>
      <c r="L140" s="46"/>
      <c r="M140" s="46" t="s">
        <v>113</v>
      </c>
      <c r="N140" s="46" t="s">
        <v>23</v>
      </c>
      <c r="O140" s="46" t="s">
        <v>996</v>
      </c>
    </row>
    <row r="141" spans="1:15" ht="82.5" hidden="1" customHeight="1" x14ac:dyDescent="0.25">
      <c r="A141" s="31">
        <v>1198778</v>
      </c>
      <c r="B141" s="38" t="s">
        <v>981</v>
      </c>
      <c r="C141" s="46" t="s">
        <v>1442</v>
      </c>
      <c r="D141" s="46" t="s">
        <v>1443</v>
      </c>
      <c r="E141" s="41" t="s">
        <v>1405</v>
      </c>
      <c r="F141" s="41" t="s">
        <v>1069</v>
      </c>
      <c r="G141" s="41" t="s">
        <v>1070</v>
      </c>
      <c r="H141" s="47" t="s">
        <v>17</v>
      </c>
      <c r="I141" s="46" t="s">
        <v>73</v>
      </c>
      <c r="J141" s="42" t="s">
        <v>103</v>
      </c>
      <c r="K141" s="41" t="s">
        <v>74</v>
      </c>
      <c r="L141" s="46"/>
      <c r="M141" s="46" t="s">
        <v>113</v>
      </c>
      <c r="N141" s="46" t="s">
        <v>23</v>
      </c>
      <c r="O141" s="46" t="s">
        <v>996</v>
      </c>
    </row>
    <row r="142" spans="1:15" ht="82.5" hidden="1" customHeight="1" x14ac:dyDescent="0.25">
      <c r="A142" s="31">
        <v>1198779</v>
      </c>
      <c r="B142" s="38" t="s">
        <v>981</v>
      </c>
      <c r="C142" s="46" t="s">
        <v>1444</v>
      </c>
      <c r="D142" s="46" t="s">
        <v>1445</v>
      </c>
      <c r="E142" s="41" t="s">
        <v>1405</v>
      </c>
      <c r="F142" s="41" t="s">
        <v>1073</v>
      </c>
      <c r="G142" s="41" t="s">
        <v>1066</v>
      </c>
      <c r="H142" s="47" t="s">
        <v>17</v>
      </c>
      <c r="I142" s="46" t="s">
        <v>73</v>
      </c>
      <c r="J142" s="42" t="s">
        <v>103</v>
      </c>
      <c r="K142" s="41" t="s">
        <v>74</v>
      </c>
      <c r="L142" s="46"/>
      <c r="M142" s="46" t="s">
        <v>113</v>
      </c>
      <c r="N142" s="46" t="s">
        <v>23</v>
      </c>
      <c r="O142" s="46" t="s">
        <v>996</v>
      </c>
    </row>
    <row r="143" spans="1:15" ht="82.5" hidden="1" customHeight="1" x14ac:dyDescent="0.25">
      <c r="A143" s="31">
        <v>1198780</v>
      </c>
      <c r="B143" s="38" t="s">
        <v>981</v>
      </c>
      <c r="C143" s="46" t="s">
        <v>1446</v>
      </c>
      <c r="D143" s="46" t="s">
        <v>1447</v>
      </c>
      <c r="E143" s="41" t="s">
        <v>1405</v>
      </c>
      <c r="F143" s="41" t="s">
        <v>1076</v>
      </c>
      <c r="G143" s="41" t="s">
        <v>1070</v>
      </c>
      <c r="H143" s="47" t="s">
        <v>17</v>
      </c>
      <c r="I143" s="46" t="s">
        <v>73</v>
      </c>
      <c r="J143" s="42" t="s">
        <v>103</v>
      </c>
      <c r="K143" s="41" t="s">
        <v>74</v>
      </c>
      <c r="L143" s="46"/>
      <c r="M143" s="46" t="s">
        <v>113</v>
      </c>
      <c r="N143" s="46" t="s">
        <v>23</v>
      </c>
      <c r="O143" s="46" t="s">
        <v>996</v>
      </c>
    </row>
    <row r="144" spans="1:15" ht="90.75" hidden="1" customHeight="1" x14ac:dyDescent="0.25">
      <c r="A144" s="31">
        <v>1198781</v>
      </c>
      <c r="B144" s="38" t="s">
        <v>981</v>
      </c>
      <c r="C144" s="46" t="s">
        <v>1448</v>
      </c>
      <c r="D144" s="46" t="s">
        <v>1449</v>
      </c>
      <c r="E144" s="41" t="s">
        <v>1405</v>
      </c>
      <c r="F144" s="41" t="s">
        <v>1079</v>
      </c>
      <c r="G144" s="41" t="s">
        <v>1080</v>
      </c>
      <c r="H144" s="47" t="s">
        <v>17</v>
      </c>
      <c r="I144" s="46" t="s">
        <v>73</v>
      </c>
      <c r="J144" s="42" t="s">
        <v>103</v>
      </c>
      <c r="K144" s="41" t="s">
        <v>74</v>
      </c>
      <c r="L144" s="46"/>
      <c r="M144" s="46" t="s">
        <v>113</v>
      </c>
      <c r="N144" s="46" t="s">
        <v>23</v>
      </c>
      <c r="O144" s="46" t="s">
        <v>996</v>
      </c>
    </row>
    <row r="145" spans="1:15" ht="109.5" hidden="1" customHeight="1" x14ac:dyDescent="0.25">
      <c r="A145" s="31">
        <v>1198782</v>
      </c>
      <c r="B145" s="38" t="s">
        <v>981</v>
      </c>
      <c r="C145" s="46" t="s">
        <v>1450</v>
      </c>
      <c r="D145" s="46" t="s">
        <v>1451</v>
      </c>
      <c r="E145" s="41" t="s">
        <v>1405</v>
      </c>
      <c r="F145" s="41" t="s">
        <v>1083</v>
      </c>
      <c r="G145" s="41" t="s">
        <v>1080</v>
      </c>
      <c r="H145" s="47" t="s">
        <v>17</v>
      </c>
      <c r="I145" s="46" t="s">
        <v>73</v>
      </c>
      <c r="J145" s="42" t="s">
        <v>103</v>
      </c>
      <c r="K145" s="41" t="s">
        <v>74</v>
      </c>
      <c r="L145" s="46"/>
      <c r="M145" s="46" t="s">
        <v>113</v>
      </c>
      <c r="N145" s="46" t="s">
        <v>23</v>
      </c>
      <c r="O145" s="46" t="s">
        <v>996</v>
      </c>
    </row>
    <row r="146" spans="1:15" ht="132" hidden="1" customHeight="1" x14ac:dyDescent="0.25">
      <c r="A146" s="31">
        <v>1198783</v>
      </c>
      <c r="B146" s="38" t="s">
        <v>981</v>
      </c>
      <c r="C146" s="46" t="s">
        <v>1452</v>
      </c>
      <c r="D146" s="46" t="s">
        <v>1453</v>
      </c>
      <c r="E146" s="41" t="s">
        <v>1405</v>
      </c>
      <c r="F146" s="41" t="s">
        <v>1086</v>
      </c>
      <c r="G146" s="41" t="s">
        <v>1080</v>
      </c>
      <c r="H146" s="47" t="s">
        <v>17</v>
      </c>
      <c r="I146" s="46" t="s">
        <v>73</v>
      </c>
      <c r="J146" s="42" t="s">
        <v>103</v>
      </c>
      <c r="K146" s="41" t="s">
        <v>74</v>
      </c>
      <c r="L146" s="46"/>
      <c r="M146" s="46" t="s">
        <v>113</v>
      </c>
      <c r="N146" s="46" t="s">
        <v>23</v>
      </c>
      <c r="O146" s="46" t="s">
        <v>996</v>
      </c>
    </row>
    <row r="147" spans="1:15" ht="150.75" hidden="1" customHeight="1" x14ac:dyDescent="0.25">
      <c r="A147" s="31">
        <v>1198784</v>
      </c>
      <c r="B147" s="38" t="s">
        <v>981</v>
      </c>
      <c r="C147" s="46" t="s">
        <v>1454</v>
      </c>
      <c r="D147" s="46" t="s">
        <v>1455</v>
      </c>
      <c r="E147" s="41" t="s">
        <v>1405</v>
      </c>
      <c r="F147" s="41" t="s">
        <v>1089</v>
      </c>
      <c r="G147" s="41" t="s">
        <v>1080</v>
      </c>
      <c r="H147" s="47" t="s">
        <v>17</v>
      </c>
      <c r="I147" s="46" t="s">
        <v>73</v>
      </c>
      <c r="J147" s="42" t="s">
        <v>103</v>
      </c>
      <c r="K147" s="41" t="s">
        <v>74</v>
      </c>
      <c r="L147" s="46"/>
      <c r="M147" s="46" t="s">
        <v>113</v>
      </c>
      <c r="N147" s="46" t="s">
        <v>23</v>
      </c>
      <c r="O147" s="46" t="s">
        <v>996</v>
      </c>
    </row>
    <row r="148" spans="1:15" ht="109.5" hidden="1" customHeight="1" x14ac:dyDescent="0.25">
      <c r="A148" s="31">
        <v>1198785</v>
      </c>
      <c r="B148" s="38" t="s">
        <v>981</v>
      </c>
      <c r="C148" s="46" t="s">
        <v>1456</v>
      </c>
      <c r="D148" s="46" t="s">
        <v>1457</v>
      </c>
      <c r="E148" s="41" t="s">
        <v>1405</v>
      </c>
      <c r="F148" s="41" t="s">
        <v>1092</v>
      </c>
      <c r="G148" s="41" t="s">
        <v>1080</v>
      </c>
      <c r="H148" s="47" t="s">
        <v>17</v>
      </c>
      <c r="I148" s="46" t="s">
        <v>73</v>
      </c>
      <c r="J148" s="42" t="s">
        <v>103</v>
      </c>
      <c r="K148" s="41" t="s">
        <v>74</v>
      </c>
      <c r="L148" s="46"/>
      <c r="M148" s="46" t="s">
        <v>113</v>
      </c>
      <c r="N148" s="46" t="s">
        <v>23</v>
      </c>
      <c r="O148" s="46" t="s">
        <v>996</v>
      </c>
    </row>
    <row r="149" spans="1:15" ht="109.5" hidden="1" customHeight="1" x14ac:dyDescent="0.25">
      <c r="A149" s="31">
        <v>1198786</v>
      </c>
      <c r="B149" s="38" t="s">
        <v>981</v>
      </c>
      <c r="C149" s="46" t="s">
        <v>1458</v>
      </c>
      <c r="D149" s="46" t="s">
        <v>1459</v>
      </c>
      <c r="E149" s="41" t="s">
        <v>1405</v>
      </c>
      <c r="F149" s="41" t="s">
        <v>1095</v>
      </c>
      <c r="G149" s="41" t="s">
        <v>1080</v>
      </c>
      <c r="H149" s="47" t="s">
        <v>17</v>
      </c>
      <c r="I149" s="46" t="s">
        <v>73</v>
      </c>
      <c r="J149" s="42" t="s">
        <v>103</v>
      </c>
      <c r="K149" s="41" t="s">
        <v>74</v>
      </c>
      <c r="L149" s="46"/>
      <c r="M149" s="46" t="s">
        <v>113</v>
      </c>
      <c r="N149" s="46" t="s">
        <v>23</v>
      </c>
      <c r="O149" s="46" t="s">
        <v>996</v>
      </c>
    </row>
    <row r="150" spans="1:15" ht="109.5" hidden="1" customHeight="1" x14ac:dyDescent="0.25">
      <c r="A150" s="31">
        <v>1198788</v>
      </c>
      <c r="B150" s="38" t="s">
        <v>981</v>
      </c>
      <c r="C150" s="46" t="s">
        <v>1460</v>
      </c>
      <c r="D150" s="46" t="s">
        <v>1461</v>
      </c>
      <c r="E150" s="41" t="s">
        <v>1405</v>
      </c>
      <c r="F150" s="41" t="s">
        <v>1098</v>
      </c>
      <c r="G150" s="41" t="s">
        <v>1080</v>
      </c>
      <c r="H150" s="47" t="s">
        <v>17</v>
      </c>
      <c r="I150" s="46" t="s">
        <v>73</v>
      </c>
      <c r="J150" s="42" t="s">
        <v>103</v>
      </c>
      <c r="K150" s="41" t="s">
        <v>74</v>
      </c>
      <c r="L150" s="46"/>
      <c r="M150" s="46" t="s">
        <v>113</v>
      </c>
      <c r="N150" s="46" t="s">
        <v>23</v>
      </c>
      <c r="O150" s="46" t="s">
        <v>996</v>
      </c>
    </row>
    <row r="151" spans="1:15" ht="109.5" hidden="1" customHeight="1" x14ac:dyDescent="0.25">
      <c r="A151" s="31">
        <v>1198789</v>
      </c>
      <c r="B151" s="38" t="s">
        <v>981</v>
      </c>
      <c r="C151" s="46" t="s">
        <v>1462</v>
      </c>
      <c r="D151" s="46" t="s">
        <v>1463</v>
      </c>
      <c r="E151" s="41" t="s">
        <v>1405</v>
      </c>
      <c r="F151" s="41" t="s">
        <v>1101</v>
      </c>
      <c r="G151" s="41" t="s">
        <v>1080</v>
      </c>
      <c r="H151" s="47" t="s">
        <v>17</v>
      </c>
      <c r="I151" s="46" t="s">
        <v>73</v>
      </c>
      <c r="J151" s="42" t="s">
        <v>103</v>
      </c>
      <c r="K151" s="41" t="s">
        <v>74</v>
      </c>
      <c r="L151" s="46"/>
      <c r="M151" s="46" t="s">
        <v>113</v>
      </c>
      <c r="N151" s="46" t="s">
        <v>23</v>
      </c>
      <c r="O151" s="46" t="s">
        <v>996</v>
      </c>
    </row>
    <row r="152" spans="1:15" ht="109.5" hidden="1" customHeight="1" x14ac:dyDescent="0.25">
      <c r="A152" s="31">
        <v>1198790</v>
      </c>
      <c r="B152" s="38" t="s">
        <v>981</v>
      </c>
      <c r="C152" s="46" t="s">
        <v>1464</v>
      </c>
      <c r="D152" s="46" t="s">
        <v>1465</v>
      </c>
      <c r="E152" s="41" t="s">
        <v>1405</v>
      </c>
      <c r="F152" s="41" t="s">
        <v>1104</v>
      </c>
      <c r="G152" s="41" t="s">
        <v>1080</v>
      </c>
      <c r="H152" s="47" t="s">
        <v>17</v>
      </c>
      <c r="I152" s="46" t="s">
        <v>73</v>
      </c>
      <c r="J152" s="42" t="s">
        <v>103</v>
      </c>
      <c r="K152" s="41" t="s">
        <v>74</v>
      </c>
      <c r="L152" s="46"/>
      <c r="M152" s="46" t="s">
        <v>113</v>
      </c>
      <c r="N152" s="46" t="s">
        <v>23</v>
      </c>
      <c r="O152" s="46" t="s">
        <v>996</v>
      </c>
    </row>
    <row r="153" spans="1:15" ht="137.25" hidden="1" customHeight="1" x14ac:dyDescent="0.25">
      <c r="A153" s="31">
        <v>1198791</v>
      </c>
      <c r="B153" s="38" t="s">
        <v>981</v>
      </c>
      <c r="C153" s="46" t="s">
        <v>1466</v>
      </c>
      <c r="D153" s="46" t="s">
        <v>1467</v>
      </c>
      <c r="E153" s="41" t="s">
        <v>1405</v>
      </c>
      <c r="F153" s="41" t="s">
        <v>1107</v>
      </c>
      <c r="G153" s="41" t="s">
        <v>1080</v>
      </c>
      <c r="H153" s="47" t="s">
        <v>17</v>
      </c>
      <c r="I153" s="46" t="s">
        <v>73</v>
      </c>
      <c r="J153" s="42" t="s">
        <v>103</v>
      </c>
      <c r="K153" s="41" t="s">
        <v>74</v>
      </c>
      <c r="L153" s="46"/>
      <c r="M153" s="46" t="s">
        <v>113</v>
      </c>
      <c r="N153" s="46" t="s">
        <v>23</v>
      </c>
      <c r="O153" s="46" t="s">
        <v>996</v>
      </c>
    </row>
    <row r="154" spans="1:15" ht="150.75" hidden="1" customHeight="1" x14ac:dyDescent="0.25">
      <c r="A154" s="31">
        <v>1198792</v>
      </c>
      <c r="B154" s="38" t="s">
        <v>981</v>
      </c>
      <c r="C154" s="46" t="s">
        <v>1468</v>
      </c>
      <c r="D154" s="46" t="s">
        <v>1469</v>
      </c>
      <c r="E154" s="41" t="s">
        <v>1405</v>
      </c>
      <c r="F154" s="41" t="s">
        <v>1110</v>
      </c>
      <c r="G154" s="41" t="s">
        <v>1080</v>
      </c>
      <c r="H154" s="47" t="s">
        <v>17</v>
      </c>
      <c r="I154" s="46" t="s">
        <v>73</v>
      </c>
      <c r="J154" s="42" t="s">
        <v>103</v>
      </c>
      <c r="K154" s="41" t="s">
        <v>74</v>
      </c>
      <c r="L154" s="46"/>
      <c r="M154" s="46" t="s">
        <v>113</v>
      </c>
      <c r="N154" s="46" t="s">
        <v>23</v>
      </c>
      <c r="O154" s="46" t="s">
        <v>996</v>
      </c>
    </row>
    <row r="155" spans="1:15" ht="109.5" hidden="1" customHeight="1" x14ac:dyDescent="0.25">
      <c r="A155" s="31">
        <v>1198793</v>
      </c>
      <c r="B155" s="38" t="s">
        <v>981</v>
      </c>
      <c r="C155" s="46" t="s">
        <v>1470</v>
      </c>
      <c r="D155" s="46" t="s">
        <v>1471</v>
      </c>
      <c r="E155" s="41" t="s">
        <v>1405</v>
      </c>
      <c r="F155" s="41" t="s">
        <v>1113</v>
      </c>
      <c r="G155" s="41" t="s">
        <v>1080</v>
      </c>
      <c r="H155" s="47" t="s">
        <v>17</v>
      </c>
      <c r="I155" s="46" t="s">
        <v>73</v>
      </c>
      <c r="J155" s="42" t="s">
        <v>103</v>
      </c>
      <c r="K155" s="41" t="s">
        <v>74</v>
      </c>
      <c r="L155" s="46"/>
      <c r="M155" s="46" t="s">
        <v>113</v>
      </c>
      <c r="N155" s="46" t="s">
        <v>23</v>
      </c>
      <c r="O155" s="46" t="s">
        <v>996</v>
      </c>
    </row>
    <row r="156" spans="1:15" ht="109.5" hidden="1" customHeight="1" x14ac:dyDescent="0.25">
      <c r="A156" s="31">
        <v>1198795</v>
      </c>
      <c r="B156" s="38" t="s">
        <v>981</v>
      </c>
      <c r="C156" s="46" t="s">
        <v>1472</v>
      </c>
      <c r="D156" s="46" t="s">
        <v>1473</v>
      </c>
      <c r="E156" s="41" t="s">
        <v>1405</v>
      </c>
      <c r="F156" s="41" t="s">
        <v>1116</v>
      </c>
      <c r="G156" s="41" t="s">
        <v>1080</v>
      </c>
      <c r="H156" s="47" t="s">
        <v>17</v>
      </c>
      <c r="I156" s="46" t="s">
        <v>73</v>
      </c>
      <c r="J156" s="42" t="s">
        <v>103</v>
      </c>
      <c r="K156" s="41" t="s">
        <v>74</v>
      </c>
      <c r="L156" s="46"/>
      <c r="M156" s="46" t="s">
        <v>113</v>
      </c>
      <c r="N156" s="46" t="s">
        <v>23</v>
      </c>
      <c r="O156" s="46" t="s">
        <v>996</v>
      </c>
    </row>
    <row r="157" spans="1:15" ht="109.5" hidden="1" customHeight="1" x14ac:dyDescent="0.25">
      <c r="A157" s="31">
        <v>1198797</v>
      </c>
      <c r="B157" s="38" t="s">
        <v>981</v>
      </c>
      <c r="C157" s="46" t="s">
        <v>1474</v>
      </c>
      <c r="D157" s="46" t="s">
        <v>1475</v>
      </c>
      <c r="E157" s="41" t="s">
        <v>1405</v>
      </c>
      <c r="F157" s="41" t="s">
        <v>1119</v>
      </c>
      <c r="G157" s="41" t="s">
        <v>1080</v>
      </c>
      <c r="H157" s="47" t="s">
        <v>17</v>
      </c>
      <c r="I157" s="46" t="s">
        <v>73</v>
      </c>
      <c r="J157" s="42" t="s">
        <v>103</v>
      </c>
      <c r="K157" s="41" t="s">
        <v>74</v>
      </c>
      <c r="L157" s="46"/>
      <c r="M157" s="46" t="s">
        <v>113</v>
      </c>
      <c r="N157" s="46" t="s">
        <v>23</v>
      </c>
      <c r="O157" s="46" t="s">
        <v>996</v>
      </c>
    </row>
    <row r="158" spans="1:15" ht="109.5" hidden="1" customHeight="1" x14ac:dyDescent="0.25">
      <c r="A158" s="31">
        <v>1198798</v>
      </c>
      <c r="B158" s="38" t="s">
        <v>981</v>
      </c>
      <c r="C158" s="46" t="s">
        <v>1476</v>
      </c>
      <c r="D158" s="46" t="s">
        <v>1477</v>
      </c>
      <c r="E158" s="41" t="s">
        <v>1405</v>
      </c>
      <c r="F158" s="41" t="s">
        <v>1122</v>
      </c>
      <c r="G158" s="41" t="s">
        <v>1080</v>
      </c>
      <c r="H158" s="47" t="s">
        <v>17</v>
      </c>
      <c r="I158" s="46" t="s">
        <v>73</v>
      </c>
      <c r="J158" s="42" t="s">
        <v>103</v>
      </c>
      <c r="K158" s="41" t="s">
        <v>74</v>
      </c>
      <c r="L158" s="46"/>
      <c r="M158" s="46" t="s">
        <v>113</v>
      </c>
      <c r="N158" s="46" t="s">
        <v>23</v>
      </c>
      <c r="O158" s="46" t="s">
        <v>996</v>
      </c>
    </row>
    <row r="159" spans="1:15" ht="150.75" hidden="1" customHeight="1" x14ac:dyDescent="0.25">
      <c r="A159" s="31">
        <v>1198799</v>
      </c>
      <c r="B159" s="38" t="s">
        <v>981</v>
      </c>
      <c r="C159" s="46" t="s">
        <v>1478</v>
      </c>
      <c r="D159" s="46" t="s">
        <v>1479</v>
      </c>
      <c r="E159" s="41" t="s">
        <v>1405</v>
      </c>
      <c r="F159" s="41" t="s">
        <v>1125</v>
      </c>
      <c r="G159" s="41" t="s">
        <v>1080</v>
      </c>
      <c r="H159" s="47" t="s">
        <v>17</v>
      </c>
      <c r="I159" s="46" t="s">
        <v>73</v>
      </c>
      <c r="J159" s="42" t="s">
        <v>103</v>
      </c>
      <c r="K159" s="41" t="s">
        <v>74</v>
      </c>
      <c r="L159" s="46"/>
      <c r="M159" s="46" t="s">
        <v>113</v>
      </c>
      <c r="N159" s="46" t="s">
        <v>23</v>
      </c>
      <c r="O159" s="46" t="s">
        <v>996</v>
      </c>
    </row>
    <row r="160" spans="1:15" ht="109.5" hidden="1" customHeight="1" x14ac:dyDescent="0.25">
      <c r="A160" s="31">
        <v>1198800</v>
      </c>
      <c r="B160" s="38" t="s">
        <v>981</v>
      </c>
      <c r="C160" s="46" t="s">
        <v>1480</v>
      </c>
      <c r="D160" s="46" t="s">
        <v>1481</v>
      </c>
      <c r="E160" s="41" t="s">
        <v>1405</v>
      </c>
      <c r="F160" s="41" t="s">
        <v>1128</v>
      </c>
      <c r="G160" s="41" t="s">
        <v>1080</v>
      </c>
      <c r="H160" s="47" t="s">
        <v>17</v>
      </c>
      <c r="I160" s="46" t="s">
        <v>73</v>
      </c>
      <c r="J160" s="42" t="s">
        <v>103</v>
      </c>
      <c r="K160" s="41" t="s">
        <v>74</v>
      </c>
      <c r="L160" s="46"/>
      <c r="M160" s="46" t="s">
        <v>113</v>
      </c>
      <c r="N160" s="46" t="s">
        <v>23</v>
      </c>
      <c r="O160" s="46" t="s">
        <v>996</v>
      </c>
    </row>
    <row r="161" spans="1:15" ht="109.5" hidden="1" customHeight="1" x14ac:dyDescent="0.25">
      <c r="A161" s="31">
        <v>1198801</v>
      </c>
      <c r="B161" s="38" t="s">
        <v>981</v>
      </c>
      <c r="C161" s="46" t="s">
        <v>1482</v>
      </c>
      <c r="D161" s="46" t="s">
        <v>1483</v>
      </c>
      <c r="E161" s="41" t="s">
        <v>1405</v>
      </c>
      <c r="F161" s="41" t="s">
        <v>1131</v>
      </c>
      <c r="G161" s="41" t="s">
        <v>1080</v>
      </c>
      <c r="H161" s="47" t="s">
        <v>17</v>
      </c>
      <c r="I161" s="46" t="s">
        <v>73</v>
      </c>
      <c r="J161" s="42" t="s">
        <v>103</v>
      </c>
      <c r="K161" s="41" t="s">
        <v>74</v>
      </c>
      <c r="L161" s="46"/>
      <c r="M161" s="46" t="s">
        <v>113</v>
      </c>
      <c r="N161" s="46" t="s">
        <v>23</v>
      </c>
      <c r="O161" s="46" t="s">
        <v>996</v>
      </c>
    </row>
    <row r="162" spans="1:15" ht="150.75" hidden="1" customHeight="1" x14ac:dyDescent="0.25">
      <c r="A162" s="31">
        <v>1198802</v>
      </c>
      <c r="B162" s="38" t="s">
        <v>981</v>
      </c>
      <c r="C162" s="46" t="s">
        <v>1484</v>
      </c>
      <c r="D162" s="46" t="s">
        <v>1485</v>
      </c>
      <c r="E162" s="41" t="s">
        <v>1405</v>
      </c>
      <c r="F162" s="41" t="s">
        <v>1134</v>
      </c>
      <c r="G162" s="41" t="s">
        <v>1080</v>
      </c>
      <c r="H162" s="47" t="s">
        <v>17</v>
      </c>
      <c r="I162" s="46" t="s">
        <v>73</v>
      </c>
      <c r="J162" s="42" t="s">
        <v>103</v>
      </c>
      <c r="K162" s="41" t="s">
        <v>74</v>
      </c>
      <c r="L162" s="46"/>
      <c r="M162" s="46" t="s">
        <v>113</v>
      </c>
      <c r="N162" s="46" t="s">
        <v>23</v>
      </c>
      <c r="O162" s="46" t="s">
        <v>996</v>
      </c>
    </row>
    <row r="163" spans="1:15" ht="123" customHeight="1" x14ac:dyDescent="0.25">
      <c r="A163" s="31">
        <v>1198803</v>
      </c>
      <c r="B163" s="38" t="s">
        <v>981</v>
      </c>
      <c r="C163" s="46" t="s">
        <v>1486</v>
      </c>
      <c r="D163" s="46" t="s">
        <v>1487</v>
      </c>
      <c r="E163" s="41" t="s">
        <v>1488</v>
      </c>
      <c r="F163" s="41" t="s">
        <v>1138</v>
      </c>
      <c r="G163" s="41" t="s">
        <v>1139</v>
      </c>
      <c r="H163" s="47" t="s">
        <v>17</v>
      </c>
      <c r="I163" s="46" t="s">
        <v>73</v>
      </c>
      <c r="J163" s="42" t="s">
        <v>103</v>
      </c>
      <c r="K163" s="41" t="s">
        <v>74</v>
      </c>
      <c r="L163" s="46"/>
      <c r="M163" s="46" t="s">
        <v>113</v>
      </c>
      <c r="N163" s="46" t="s">
        <v>23</v>
      </c>
      <c r="O163" s="46" t="s">
        <v>996</v>
      </c>
    </row>
    <row r="164" spans="1:15" ht="123" hidden="1" customHeight="1" x14ac:dyDescent="0.25">
      <c r="A164" s="31">
        <v>1198804</v>
      </c>
      <c r="B164" s="38" t="s">
        <v>981</v>
      </c>
      <c r="C164" s="46" t="s">
        <v>1489</v>
      </c>
      <c r="D164" s="46" t="s">
        <v>1490</v>
      </c>
      <c r="E164" s="41" t="s">
        <v>1491</v>
      </c>
      <c r="F164" s="41" t="s">
        <v>1138</v>
      </c>
      <c r="G164" s="41" t="s">
        <v>1139</v>
      </c>
      <c r="H164" s="47" t="s">
        <v>17</v>
      </c>
      <c r="I164" s="46" t="s">
        <v>73</v>
      </c>
      <c r="J164" s="42" t="s">
        <v>103</v>
      </c>
      <c r="K164" s="41" t="s">
        <v>74</v>
      </c>
      <c r="L164" s="46"/>
      <c r="M164" s="46" t="s">
        <v>113</v>
      </c>
      <c r="N164" s="46" t="s">
        <v>23</v>
      </c>
      <c r="O164" s="46" t="s">
        <v>996</v>
      </c>
    </row>
    <row r="165" spans="1:15" ht="96" hidden="1" customHeight="1" x14ac:dyDescent="0.25">
      <c r="A165" s="31">
        <v>1198805</v>
      </c>
      <c r="B165" s="38" t="s">
        <v>981</v>
      </c>
      <c r="C165" s="46" t="s">
        <v>1492</v>
      </c>
      <c r="D165" s="46" t="s">
        <v>1493</v>
      </c>
      <c r="E165" s="41" t="s">
        <v>1494</v>
      </c>
      <c r="F165" s="41" t="s">
        <v>1138</v>
      </c>
      <c r="G165" s="41" t="s">
        <v>1139</v>
      </c>
      <c r="H165" s="47" t="s">
        <v>17</v>
      </c>
      <c r="I165" s="46" t="s">
        <v>73</v>
      </c>
      <c r="J165" s="42" t="s">
        <v>103</v>
      </c>
      <c r="K165" s="41" t="s">
        <v>74</v>
      </c>
      <c r="L165" s="46"/>
      <c r="M165" s="46" t="s">
        <v>113</v>
      </c>
      <c r="N165" s="46" t="s">
        <v>23</v>
      </c>
      <c r="O165" s="46" t="s">
        <v>996</v>
      </c>
    </row>
    <row r="166" spans="1:15" ht="96" hidden="1" customHeight="1" x14ac:dyDescent="0.25">
      <c r="A166" s="31">
        <v>1198806</v>
      </c>
      <c r="B166" s="38" t="s">
        <v>981</v>
      </c>
      <c r="C166" s="46" t="s">
        <v>1495</v>
      </c>
      <c r="D166" s="46" t="s">
        <v>1496</v>
      </c>
      <c r="E166" s="41" t="s">
        <v>1497</v>
      </c>
      <c r="F166" s="41" t="s">
        <v>1138</v>
      </c>
      <c r="G166" s="41" t="s">
        <v>1139</v>
      </c>
      <c r="H166" s="47" t="s">
        <v>17</v>
      </c>
      <c r="I166" s="46" t="s">
        <v>73</v>
      </c>
      <c r="J166" s="42" t="s">
        <v>103</v>
      </c>
      <c r="K166" s="41" t="s">
        <v>74</v>
      </c>
      <c r="L166" s="46"/>
      <c r="M166" s="46" t="s">
        <v>113</v>
      </c>
      <c r="N166" s="46" t="s">
        <v>23</v>
      </c>
      <c r="O166" s="46" t="s">
        <v>996</v>
      </c>
    </row>
    <row r="167" spans="1:15" ht="96" hidden="1" customHeight="1" x14ac:dyDescent="0.25">
      <c r="A167" s="31">
        <v>1198807</v>
      </c>
      <c r="B167" s="38" t="s">
        <v>981</v>
      </c>
      <c r="C167" s="46" t="s">
        <v>1498</v>
      </c>
      <c r="D167" s="46" t="s">
        <v>1499</v>
      </c>
      <c r="E167" s="41" t="s">
        <v>1500</v>
      </c>
      <c r="F167" s="41" t="s">
        <v>1138</v>
      </c>
      <c r="G167" s="41" t="s">
        <v>1139</v>
      </c>
      <c r="H167" s="47" t="s">
        <v>17</v>
      </c>
      <c r="I167" s="46" t="s">
        <v>73</v>
      </c>
      <c r="J167" s="42" t="s">
        <v>103</v>
      </c>
      <c r="K167" s="41" t="s">
        <v>74</v>
      </c>
      <c r="L167" s="46"/>
      <c r="M167" s="46" t="s">
        <v>113</v>
      </c>
      <c r="N167" s="46" t="s">
        <v>23</v>
      </c>
      <c r="O167" s="46" t="s">
        <v>996</v>
      </c>
    </row>
    <row r="168" spans="1:15" ht="96" hidden="1" customHeight="1" x14ac:dyDescent="0.25">
      <c r="A168" s="31">
        <v>1198808</v>
      </c>
      <c r="B168" s="38" t="s">
        <v>981</v>
      </c>
      <c r="C168" s="46" t="s">
        <v>1501</v>
      </c>
      <c r="D168" s="46" t="s">
        <v>1502</v>
      </c>
      <c r="E168" s="41" t="s">
        <v>1503</v>
      </c>
      <c r="F168" s="41" t="s">
        <v>1138</v>
      </c>
      <c r="G168" s="41" t="s">
        <v>1139</v>
      </c>
      <c r="H168" s="47" t="s">
        <v>17</v>
      </c>
      <c r="I168" s="46" t="s">
        <v>73</v>
      </c>
      <c r="J168" s="42" t="s">
        <v>103</v>
      </c>
      <c r="K168" s="41" t="s">
        <v>74</v>
      </c>
      <c r="L168" s="46"/>
      <c r="M168" s="46" t="s">
        <v>113</v>
      </c>
      <c r="N168" s="46" t="s">
        <v>23</v>
      </c>
      <c r="O168" s="46" t="s">
        <v>996</v>
      </c>
    </row>
    <row r="169" spans="1:15" ht="74.25" hidden="1" customHeight="1" x14ac:dyDescent="0.25">
      <c r="A169" s="31">
        <v>1198809</v>
      </c>
      <c r="B169" s="38" t="s">
        <v>981</v>
      </c>
      <c r="C169" s="46" t="s">
        <v>1504</v>
      </c>
      <c r="D169" s="46" t="s">
        <v>1505</v>
      </c>
      <c r="E169" s="41" t="s">
        <v>1506</v>
      </c>
      <c r="F169" s="41" t="s">
        <v>1138</v>
      </c>
      <c r="G169" s="41" t="s">
        <v>1139</v>
      </c>
      <c r="H169" s="47" t="s">
        <v>17</v>
      </c>
      <c r="I169" s="46" t="s">
        <v>73</v>
      </c>
      <c r="J169" s="42" t="s">
        <v>103</v>
      </c>
      <c r="K169" s="41" t="s">
        <v>74</v>
      </c>
      <c r="L169" s="46"/>
      <c r="M169" s="46" t="s">
        <v>113</v>
      </c>
      <c r="N169" s="46" t="s">
        <v>23</v>
      </c>
      <c r="O169" s="46" t="s">
        <v>996</v>
      </c>
    </row>
    <row r="170" spans="1:15" ht="78" hidden="1" customHeight="1" x14ac:dyDescent="0.25">
      <c r="A170" s="31">
        <v>1198810</v>
      </c>
      <c r="B170" s="38" t="s">
        <v>981</v>
      </c>
      <c r="C170" s="46" t="s">
        <v>1507</v>
      </c>
      <c r="D170" s="46" t="s">
        <v>1508</v>
      </c>
      <c r="E170" s="41" t="s">
        <v>1509</v>
      </c>
      <c r="F170" s="41" t="s">
        <v>1138</v>
      </c>
      <c r="G170" s="41" t="s">
        <v>1139</v>
      </c>
      <c r="H170" s="47" t="s">
        <v>17</v>
      </c>
      <c r="I170" s="46" t="s">
        <v>73</v>
      </c>
      <c r="J170" s="42" t="s">
        <v>103</v>
      </c>
      <c r="K170" s="41" t="s">
        <v>74</v>
      </c>
      <c r="L170" s="46"/>
      <c r="M170" s="46" t="s">
        <v>113</v>
      </c>
      <c r="N170" s="46" t="s">
        <v>23</v>
      </c>
      <c r="O170" s="46" t="s">
        <v>996</v>
      </c>
    </row>
    <row r="171" spans="1:15" ht="105" hidden="1" customHeight="1" x14ac:dyDescent="0.25">
      <c r="A171" s="31">
        <v>1198811</v>
      </c>
      <c r="B171" s="38" t="s">
        <v>981</v>
      </c>
      <c r="C171" s="46" t="s">
        <v>1510</v>
      </c>
      <c r="D171" s="46" t="s">
        <v>1511</v>
      </c>
      <c r="E171" s="41" t="s">
        <v>1512</v>
      </c>
      <c r="F171" s="41" t="s">
        <v>1138</v>
      </c>
      <c r="G171" s="41" t="s">
        <v>1139</v>
      </c>
      <c r="H171" s="47" t="s">
        <v>17</v>
      </c>
      <c r="I171" s="46" t="s">
        <v>73</v>
      </c>
      <c r="J171" s="42" t="s">
        <v>103</v>
      </c>
      <c r="K171" s="41" t="s">
        <v>74</v>
      </c>
      <c r="L171" s="46"/>
      <c r="M171" s="46" t="s">
        <v>113</v>
      </c>
      <c r="N171" s="46" t="s">
        <v>23</v>
      </c>
      <c r="O171" s="46" t="s">
        <v>996</v>
      </c>
    </row>
    <row r="172" spans="1:15" ht="108.75" hidden="1" customHeight="1" x14ac:dyDescent="0.25">
      <c r="A172" s="31">
        <v>1198812</v>
      </c>
      <c r="B172" s="38" t="s">
        <v>981</v>
      </c>
      <c r="C172" s="46" t="s">
        <v>1513</v>
      </c>
      <c r="D172" s="46" t="s">
        <v>1514</v>
      </c>
      <c r="E172" s="41" t="s">
        <v>1515</v>
      </c>
      <c r="F172" s="41" t="s">
        <v>1138</v>
      </c>
      <c r="G172" s="41" t="s">
        <v>1139</v>
      </c>
      <c r="H172" s="47" t="s">
        <v>17</v>
      </c>
      <c r="I172" s="46" t="s">
        <v>73</v>
      </c>
      <c r="J172" s="42" t="s">
        <v>103</v>
      </c>
      <c r="K172" s="41" t="s">
        <v>74</v>
      </c>
      <c r="L172" s="46"/>
      <c r="M172" s="46" t="s">
        <v>113</v>
      </c>
      <c r="N172" s="46" t="s">
        <v>23</v>
      </c>
      <c r="O172" s="46" t="s">
        <v>996</v>
      </c>
    </row>
    <row r="173" spans="1:15" ht="109.5" hidden="1" customHeight="1" x14ac:dyDescent="0.25">
      <c r="A173" s="31">
        <v>1198813</v>
      </c>
      <c r="B173" s="38" t="s">
        <v>981</v>
      </c>
      <c r="C173" s="46" t="s">
        <v>1516</v>
      </c>
      <c r="D173" s="46" t="s">
        <v>1517</v>
      </c>
      <c r="E173" s="41" t="s">
        <v>1518</v>
      </c>
      <c r="F173" s="41" t="s">
        <v>1138</v>
      </c>
      <c r="G173" s="41" t="s">
        <v>1139</v>
      </c>
      <c r="H173" s="47" t="s">
        <v>17</v>
      </c>
      <c r="I173" s="46" t="s">
        <v>73</v>
      </c>
      <c r="J173" s="42" t="s">
        <v>103</v>
      </c>
      <c r="K173" s="41" t="s">
        <v>74</v>
      </c>
      <c r="L173" s="46"/>
      <c r="M173" s="46" t="s">
        <v>113</v>
      </c>
      <c r="N173" s="46" t="s">
        <v>23</v>
      </c>
      <c r="O173" s="46" t="s">
        <v>996</v>
      </c>
    </row>
    <row r="174" spans="1:15" ht="109.5" hidden="1" customHeight="1" x14ac:dyDescent="0.25">
      <c r="A174" s="31">
        <v>1198814</v>
      </c>
      <c r="B174" s="38" t="s">
        <v>981</v>
      </c>
      <c r="C174" s="46" t="s">
        <v>1519</v>
      </c>
      <c r="D174" s="46" t="s">
        <v>1520</v>
      </c>
      <c r="E174" s="41" t="s">
        <v>1521</v>
      </c>
      <c r="F174" s="41" t="s">
        <v>1138</v>
      </c>
      <c r="G174" s="41" t="s">
        <v>1139</v>
      </c>
      <c r="H174" s="47" t="s">
        <v>17</v>
      </c>
      <c r="I174" s="46" t="s">
        <v>73</v>
      </c>
      <c r="J174" s="42" t="s">
        <v>103</v>
      </c>
      <c r="K174" s="41" t="s">
        <v>74</v>
      </c>
      <c r="L174" s="46"/>
      <c r="M174" s="46" t="s">
        <v>113</v>
      </c>
      <c r="N174" s="46" t="s">
        <v>23</v>
      </c>
      <c r="O174" s="46" t="s">
        <v>996</v>
      </c>
    </row>
    <row r="175" spans="1:15" ht="27.75" hidden="1" customHeight="1" x14ac:dyDescent="0.25">
      <c r="A175" s="31">
        <v>1198815</v>
      </c>
      <c r="B175" s="38" t="s">
        <v>981</v>
      </c>
      <c r="C175" s="46" t="s">
        <v>1522</v>
      </c>
      <c r="D175" s="46" t="s">
        <v>1523</v>
      </c>
      <c r="E175" s="41" t="s">
        <v>1175</v>
      </c>
      <c r="F175" s="41" t="s">
        <v>1176</v>
      </c>
      <c r="G175" s="41" t="s">
        <v>1177</v>
      </c>
      <c r="H175" s="47" t="s">
        <v>17</v>
      </c>
      <c r="I175" s="46" t="s">
        <v>73</v>
      </c>
      <c r="J175" s="40" t="s">
        <v>506</v>
      </c>
      <c r="K175" s="41" t="s">
        <v>74</v>
      </c>
      <c r="L175" s="46"/>
      <c r="M175" s="46" t="s">
        <v>22</v>
      </c>
      <c r="N175" s="46" t="s">
        <v>23</v>
      </c>
      <c r="O175" s="46" t="s">
        <v>996</v>
      </c>
    </row>
    <row r="176" spans="1:15" ht="27.75" hidden="1" customHeight="1" x14ac:dyDescent="0.25">
      <c r="A176" s="31">
        <v>1198816</v>
      </c>
      <c r="B176" s="38" t="s">
        <v>981</v>
      </c>
      <c r="C176" s="46" t="s">
        <v>1524</v>
      </c>
      <c r="D176" s="46" t="s">
        <v>1525</v>
      </c>
      <c r="E176" s="41" t="s">
        <v>1175</v>
      </c>
      <c r="F176" s="41" t="s">
        <v>1180</v>
      </c>
      <c r="G176" s="41" t="s">
        <v>1177</v>
      </c>
      <c r="H176" s="47" t="s">
        <v>17</v>
      </c>
      <c r="I176" s="46" t="s">
        <v>73</v>
      </c>
      <c r="J176" s="40" t="s">
        <v>506</v>
      </c>
      <c r="K176" s="41" t="s">
        <v>74</v>
      </c>
      <c r="L176" s="46"/>
      <c r="M176" s="46" t="s">
        <v>22</v>
      </c>
      <c r="N176" s="46" t="s">
        <v>23</v>
      </c>
      <c r="O176" s="46" t="s">
        <v>996</v>
      </c>
    </row>
    <row r="177" spans="1:15" ht="27.75" hidden="1" customHeight="1" x14ac:dyDescent="0.25">
      <c r="A177" s="31">
        <v>1198817</v>
      </c>
      <c r="B177" s="38" t="s">
        <v>981</v>
      </c>
      <c r="C177" s="46" t="s">
        <v>1526</v>
      </c>
      <c r="D177" s="46" t="s">
        <v>1527</v>
      </c>
      <c r="E177" s="41" t="s">
        <v>1175</v>
      </c>
      <c r="F177" s="41" t="s">
        <v>1183</v>
      </c>
      <c r="G177" s="41" t="s">
        <v>1177</v>
      </c>
      <c r="H177" s="47" t="s">
        <v>17</v>
      </c>
      <c r="I177" s="46" t="s">
        <v>73</v>
      </c>
      <c r="J177" s="40" t="s">
        <v>506</v>
      </c>
      <c r="K177" s="41" t="s">
        <v>74</v>
      </c>
      <c r="L177" s="46"/>
      <c r="M177" s="46" t="s">
        <v>22</v>
      </c>
      <c r="N177" s="46" t="s">
        <v>23</v>
      </c>
      <c r="O177" s="46" t="s">
        <v>996</v>
      </c>
    </row>
    <row r="178" spans="1:15" ht="96" hidden="1" customHeight="1" x14ac:dyDescent="0.25">
      <c r="A178" s="31">
        <v>1198818</v>
      </c>
      <c r="B178" s="38" t="s">
        <v>981</v>
      </c>
      <c r="C178" s="46" t="s">
        <v>1528</v>
      </c>
      <c r="D178" s="46" t="s">
        <v>1529</v>
      </c>
      <c r="E178" s="41" t="s">
        <v>1530</v>
      </c>
      <c r="F178" s="41" t="s">
        <v>1138</v>
      </c>
      <c r="G178" s="41" t="s">
        <v>1187</v>
      </c>
      <c r="H178" s="47" t="s">
        <v>17</v>
      </c>
      <c r="I178" s="46" t="s">
        <v>73</v>
      </c>
      <c r="J178" s="40" t="s">
        <v>506</v>
      </c>
      <c r="K178" s="41" t="s">
        <v>74</v>
      </c>
      <c r="L178" s="46"/>
      <c r="M178" s="46" t="s">
        <v>22</v>
      </c>
      <c r="N178" s="46" t="s">
        <v>23</v>
      </c>
      <c r="O178" s="46" t="s">
        <v>996</v>
      </c>
    </row>
    <row r="179" spans="1:15" ht="91.5" hidden="1" customHeight="1" x14ac:dyDescent="0.25">
      <c r="A179" s="31">
        <v>1198819</v>
      </c>
      <c r="B179" s="38" t="s">
        <v>981</v>
      </c>
      <c r="C179" s="46" t="s">
        <v>1531</v>
      </c>
      <c r="D179" s="46" t="s">
        <v>1532</v>
      </c>
      <c r="E179" s="41" t="s">
        <v>1533</v>
      </c>
      <c r="F179" s="41" t="s">
        <v>1138</v>
      </c>
      <c r="G179" s="41" t="s">
        <v>1187</v>
      </c>
      <c r="H179" s="47" t="s">
        <v>17</v>
      </c>
      <c r="I179" s="46" t="s">
        <v>73</v>
      </c>
      <c r="J179" s="40" t="s">
        <v>506</v>
      </c>
      <c r="K179" s="41" t="s">
        <v>74</v>
      </c>
      <c r="L179" s="46"/>
      <c r="M179" s="46" t="s">
        <v>22</v>
      </c>
      <c r="N179" s="46" t="s">
        <v>23</v>
      </c>
      <c r="O179" s="46" t="s">
        <v>996</v>
      </c>
    </row>
    <row r="180" spans="1:15" ht="96" hidden="1" customHeight="1" x14ac:dyDescent="0.25">
      <c r="A180" s="31">
        <v>1198820</v>
      </c>
      <c r="B180" s="38" t="s">
        <v>981</v>
      </c>
      <c r="C180" s="46" t="s">
        <v>1534</v>
      </c>
      <c r="D180" s="46" t="s">
        <v>1535</v>
      </c>
      <c r="E180" s="41" t="s">
        <v>1536</v>
      </c>
      <c r="F180" s="41" t="s">
        <v>1138</v>
      </c>
      <c r="G180" s="41" t="s">
        <v>1187</v>
      </c>
      <c r="H180" s="47" t="s">
        <v>17</v>
      </c>
      <c r="I180" s="46" t="s">
        <v>73</v>
      </c>
      <c r="J180" s="40" t="s">
        <v>506</v>
      </c>
      <c r="K180" s="41" t="s">
        <v>74</v>
      </c>
      <c r="L180" s="46"/>
      <c r="M180" s="46" t="s">
        <v>22</v>
      </c>
      <c r="N180" s="46" t="s">
        <v>23</v>
      </c>
      <c r="O180" s="46" t="s">
        <v>996</v>
      </c>
    </row>
    <row r="181" spans="1:15" ht="96" hidden="1" customHeight="1" x14ac:dyDescent="0.25">
      <c r="A181" s="31">
        <v>1198821</v>
      </c>
      <c r="B181" s="38" t="s">
        <v>981</v>
      </c>
      <c r="C181" s="46" t="s">
        <v>1537</v>
      </c>
      <c r="D181" s="46" t="s">
        <v>1538</v>
      </c>
      <c r="E181" s="41" t="s">
        <v>1539</v>
      </c>
      <c r="F181" s="41" t="s">
        <v>1138</v>
      </c>
      <c r="G181" s="41" t="s">
        <v>1187</v>
      </c>
      <c r="H181" s="47" t="s">
        <v>17</v>
      </c>
      <c r="I181" s="46" t="s">
        <v>73</v>
      </c>
      <c r="J181" s="40" t="s">
        <v>506</v>
      </c>
      <c r="K181" s="41" t="s">
        <v>74</v>
      </c>
      <c r="L181" s="46"/>
      <c r="M181" s="46" t="s">
        <v>22</v>
      </c>
      <c r="N181" s="46" t="s">
        <v>23</v>
      </c>
      <c r="O181" s="46" t="s">
        <v>996</v>
      </c>
    </row>
    <row r="182" spans="1:15" ht="109.5" hidden="1" customHeight="1" x14ac:dyDescent="0.25">
      <c r="A182" s="31">
        <v>1198822</v>
      </c>
      <c r="B182" s="38" t="s">
        <v>981</v>
      </c>
      <c r="C182" s="46" t="s">
        <v>1540</v>
      </c>
      <c r="D182" s="46" t="s">
        <v>1541</v>
      </c>
      <c r="E182" s="41" t="s">
        <v>1542</v>
      </c>
      <c r="F182" s="41" t="s">
        <v>1138</v>
      </c>
      <c r="G182" s="41" t="s">
        <v>1187</v>
      </c>
      <c r="H182" s="47" t="s">
        <v>17</v>
      </c>
      <c r="I182" s="46" t="s">
        <v>73</v>
      </c>
      <c r="J182" s="40" t="s">
        <v>506</v>
      </c>
      <c r="K182" s="41" t="s">
        <v>74</v>
      </c>
      <c r="L182" s="46"/>
      <c r="M182" s="46" t="s">
        <v>22</v>
      </c>
      <c r="N182" s="46" t="s">
        <v>23</v>
      </c>
      <c r="O182" s="46" t="s">
        <v>996</v>
      </c>
    </row>
    <row r="183" spans="1:15" ht="109.5" hidden="1" customHeight="1" x14ac:dyDescent="0.25">
      <c r="A183" s="31">
        <v>1198823</v>
      </c>
      <c r="B183" s="38" t="s">
        <v>981</v>
      </c>
      <c r="C183" s="46" t="s">
        <v>1543</v>
      </c>
      <c r="D183" s="46" t="s">
        <v>1544</v>
      </c>
      <c r="E183" s="41" t="s">
        <v>1545</v>
      </c>
      <c r="F183" s="41" t="s">
        <v>1138</v>
      </c>
      <c r="G183" s="41" t="s">
        <v>1187</v>
      </c>
      <c r="H183" s="47" t="s">
        <v>17</v>
      </c>
      <c r="I183" s="46" t="s">
        <v>73</v>
      </c>
      <c r="J183" s="40" t="s">
        <v>506</v>
      </c>
      <c r="K183" s="41" t="s">
        <v>74</v>
      </c>
      <c r="L183" s="46"/>
      <c r="M183" s="46" t="s">
        <v>22</v>
      </c>
      <c r="N183" s="46" t="s">
        <v>23</v>
      </c>
      <c r="O183" s="46" t="s">
        <v>996</v>
      </c>
    </row>
    <row r="184" spans="1:15" ht="123" customHeight="1" x14ac:dyDescent="0.25">
      <c r="A184" s="31">
        <v>1198824</v>
      </c>
      <c r="B184" s="38" t="s">
        <v>981</v>
      </c>
      <c r="C184" s="46" t="s">
        <v>1546</v>
      </c>
      <c r="D184" s="46" t="s">
        <v>1547</v>
      </c>
      <c r="E184" s="41" t="s">
        <v>1488</v>
      </c>
      <c r="F184" s="41" t="s">
        <v>1206</v>
      </c>
      <c r="G184" s="41" t="s">
        <v>1207</v>
      </c>
      <c r="H184" s="47" t="s">
        <v>17</v>
      </c>
      <c r="I184" s="46" t="s">
        <v>73</v>
      </c>
      <c r="J184" s="42" t="s">
        <v>103</v>
      </c>
      <c r="K184" s="41" t="s">
        <v>74</v>
      </c>
      <c r="L184" s="46"/>
      <c r="M184" s="46" t="s">
        <v>113</v>
      </c>
      <c r="N184" s="46" t="s">
        <v>23</v>
      </c>
      <c r="O184" s="46" t="s">
        <v>996</v>
      </c>
    </row>
    <row r="185" spans="1:15" ht="123" hidden="1" customHeight="1" x14ac:dyDescent="0.25">
      <c r="A185" s="31">
        <v>1198825</v>
      </c>
      <c r="B185" s="38" t="s">
        <v>981</v>
      </c>
      <c r="C185" s="46" t="s">
        <v>1548</v>
      </c>
      <c r="D185" s="46" t="s">
        <v>1549</v>
      </c>
      <c r="E185" s="41" t="s">
        <v>1491</v>
      </c>
      <c r="F185" s="41" t="s">
        <v>1206</v>
      </c>
      <c r="G185" s="41" t="s">
        <v>1207</v>
      </c>
      <c r="H185" s="47" t="s">
        <v>17</v>
      </c>
      <c r="I185" s="46" t="s">
        <v>73</v>
      </c>
      <c r="J185" s="42" t="s">
        <v>103</v>
      </c>
      <c r="K185" s="41" t="s">
        <v>74</v>
      </c>
      <c r="L185" s="46"/>
      <c r="M185" s="46" t="s">
        <v>113</v>
      </c>
      <c r="N185" s="46" t="s">
        <v>23</v>
      </c>
      <c r="O185" s="46" t="s">
        <v>996</v>
      </c>
    </row>
    <row r="186" spans="1:15" ht="123" hidden="1" customHeight="1" x14ac:dyDescent="0.25">
      <c r="A186" s="31">
        <v>1198826</v>
      </c>
      <c r="B186" s="38" t="s">
        <v>981</v>
      </c>
      <c r="C186" s="46" t="s">
        <v>1550</v>
      </c>
      <c r="D186" s="46" t="s">
        <v>1551</v>
      </c>
      <c r="E186" s="41" t="s">
        <v>1552</v>
      </c>
      <c r="F186" s="41" t="s">
        <v>1206</v>
      </c>
      <c r="G186" s="41" t="s">
        <v>1207</v>
      </c>
      <c r="H186" s="47" t="s">
        <v>17</v>
      </c>
      <c r="I186" s="46" t="s">
        <v>73</v>
      </c>
      <c r="J186" s="42" t="s">
        <v>103</v>
      </c>
      <c r="K186" s="41" t="s">
        <v>74</v>
      </c>
      <c r="L186" s="46"/>
      <c r="M186" s="46" t="s">
        <v>113</v>
      </c>
      <c r="N186" s="46" t="s">
        <v>23</v>
      </c>
      <c r="O186" s="46" t="s">
        <v>996</v>
      </c>
    </row>
    <row r="187" spans="1:15" ht="123" hidden="1" customHeight="1" x14ac:dyDescent="0.25">
      <c r="A187" s="31">
        <v>1198827</v>
      </c>
      <c r="B187" s="38" t="s">
        <v>981</v>
      </c>
      <c r="C187" s="46" t="s">
        <v>1553</v>
      </c>
      <c r="D187" s="46" t="s">
        <v>1554</v>
      </c>
      <c r="E187" s="41" t="s">
        <v>1555</v>
      </c>
      <c r="F187" s="41" t="s">
        <v>1206</v>
      </c>
      <c r="G187" s="41" t="s">
        <v>1207</v>
      </c>
      <c r="H187" s="47" t="s">
        <v>17</v>
      </c>
      <c r="I187" s="46" t="s">
        <v>73</v>
      </c>
      <c r="J187" s="42" t="s">
        <v>103</v>
      </c>
      <c r="K187" s="41" t="s">
        <v>74</v>
      </c>
      <c r="L187" s="46"/>
      <c r="M187" s="46" t="s">
        <v>113</v>
      </c>
      <c r="N187" s="46" t="s">
        <v>23</v>
      </c>
      <c r="O187" s="46" t="s">
        <v>996</v>
      </c>
    </row>
    <row r="188" spans="1:15" ht="100.5" hidden="1" customHeight="1" x14ac:dyDescent="0.25">
      <c r="A188" s="31">
        <v>1198828</v>
      </c>
      <c r="B188" s="38" t="s">
        <v>981</v>
      </c>
      <c r="C188" s="46" t="s">
        <v>1556</v>
      </c>
      <c r="D188" s="46" t="s">
        <v>1557</v>
      </c>
      <c r="E188" s="41" t="s">
        <v>1558</v>
      </c>
      <c r="F188" s="41" t="s">
        <v>1206</v>
      </c>
      <c r="G188" s="41" t="s">
        <v>1207</v>
      </c>
      <c r="H188" s="47" t="s">
        <v>17</v>
      </c>
      <c r="I188" s="46" t="s">
        <v>73</v>
      </c>
      <c r="J188" s="42" t="s">
        <v>103</v>
      </c>
      <c r="K188" s="41" t="s">
        <v>74</v>
      </c>
      <c r="L188" s="46"/>
      <c r="M188" s="46" t="s">
        <v>113</v>
      </c>
      <c r="N188" s="46" t="s">
        <v>23</v>
      </c>
      <c r="O188" s="46" t="s">
        <v>996</v>
      </c>
    </row>
    <row r="189" spans="1:15" ht="108" hidden="1" customHeight="1" x14ac:dyDescent="0.25">
      <c r="A189" s="31">
        <v>1198829</v>
      </c>
      <c r="B189" s="38" t="s">
        <v>981</v>
      </c>
      <c r="C189" s="46" t="s">
        <v>1559</v>
      </c>
      <c r="D189" s="46" t="s">
        <v>1560</v>
      </c>
      <c r="E189" s="41" t="s">
        <v>1561</v>
      </c>
      <c r="F189" s="41" t="s">
        <v>1206</v>
      </c>
      <c r="G189" s="41" t="s">
        <v>1207</v>
      </c>
      <c r="H189" s="47" t="s">
        <v>17</v>
      </c>
      <c r="I189" s="46" t="s">
        <v>73</v>
      </c>
      <c r="J189" s="42" t="s">
        <v>103</v>
      </c>
      <c r="K189" s="41" t="s">
        <v>74</v>
      </c>
      <c r="L189" s="46"/>
      <c r="M189" s="46" t="s">
        <v>113</v>
      </c>
      <c r="N189" s="46" t="s">
        <v>23</v>
      </c>
      <c r="O189" s="46" t="s">
        <v>996</v>
      </c>
    </row>
    <row r="190" spans="1:15" ht="123" hidden="1" customHeight="1" x14ac:dyDescent="0.25">
      <c r="A190" s="31">
        <v>1198830</v>
      </c>
      <c r="B190" s="38" t="s">
        <v>981</v>
      </c>
      <c r="C190" s="46" t="s">
        <v>1562</v>
      </c>
      <c r="D190" s="46" t="s">
        <v>1563</v>
      </c>
      <c r="E190" s="41" t="s">
        <v>1564</v>
      </c>
      <c r="F190" s="41" t="s">
        <v>1206</v>
      </c>
      <c r="G190" s="41" t="s">
        <v>1207</v>
      </c>
      <c r="H190" s="47" t="s">
        <v>17</v>
      </c>
      <c r="I190" s="46" t="s">
        <v>73</v>
      </c>
      <c r="J190" s="42" t="s">
        <v>103</v>
      </c>
      <c r="K190" s="41" t="s">
        <v>74</v>
      </c>
      <c r="L190" s="46"/>
      <c r="M190" s="46" t="s">
        <v>113</v>
      </c>
      <c r="N190" s="46" t="s">
        <v>23</v>
      </c>
      <c r="O190" s="46" t="s">
        <v>996</v>
      </c>
    </row>
    <row r="191" spans="1:15" ht="90.75" hidden="1" customHeight="1" x14ac:dyDescent="0.25">
      <c r="A191" s="31">
        <v>1198831</v>
      </c>
      <c r="B191" s="38" t="s">
        <v>981</v>
      </c>
      <c r="C191" s="46" t="s">
        <v>1565</v>
      </c>
      <c r="D191" s="46" t="s">
        <v>1566</v>
      </c>
      <c r="E191" s="41" t="s">
        <v>1567</v>
      </c>
      <c r="F191" s="41" t="s">
        <v>1206</v>
      </c>
      <c r="G191" s="41" t="s">
        <v>1207</v>
      </c>
      <c r="H191" s="47" t="s">
        <v>17</v>
      </c>
      <c r="I191" s="46" t="s">
        <v>73</v>
      </c>
      <c r="J191" s="42" t="s">
        <v>103</v>
      </c>
      <c r="K191" s="41" t="s">
        <v>74</v>
      </c>
      <c r="L191" s="46"/>
      <c r="M191" s="46" t="s">
        <v>113</v>
      </c>
      <c r="N191" s="46" t="s">
        <v>23</v>
      </c>
      <c r="O191" s="46" t="s">
        <v>996</v>
      </c>
    </row>
    <row r="192" spans="1:15" ht="120.75" hidden="1" customHeight="1" x14ac:dyDescent="0.25">
      <c r="A192" s="31">
        <v>1198832</v>
      </c>
      <c r="B192" s="38" t="s">
        <v>981</v>
      </c>
      <c r="C192" s="46" t="s">
        <v>1568</v>
      </c>
      <c r="D192" s="46" t="s">
        <v>1569</v>
      </c>
      <c r="E192" s="41" t="s">
        <v>1570</v>
      </c>
      <c r="F192" s="41" t="s">
        <v>1206</v>
      </c>
      <c r="G192" s="41" t="s">
        <v>1207</v>
      </c>
      <c r="H192" s="47" t="s">
        <v>17</v>
      </c>
      <c r="I192" s="46" t="s">
        <v>73</v>
      </c>
      <c r="J192" s="42" t="s">
        <v>103</v>
      </c>
      <c r="K192" s="41" t="s">
        <v>74</v>
      </c>
      <c r="L192" s="46"/>
      <c r="M192" s="46" t="s">
        <v>113</v>
      </c>
      <c r="N192" s="46" t="s">
        <v>23</v>
      </c>
      <c r="O192" s="46" t="s">
        <v>996</v>
      </c>
    </row>
    <row r="193" spans="1:15" ht="136.5" hidden="1" customHeight="1" x14ac:dyDescent="0.25">
      <c r="A193" s="31">
        <v>1198833</v>
      </c>
      <c r="B193" s="38" t="s">
        <v>981</v>
      </c>
      <c r="C193" s="46" t="s">
        <v>1571</v>
      </c>
      <c r="D193" s="46" t="s">
        <v>1572</v>
      </c>
      <c r="E193" s="41" t="s">
        <v>1573</v>
      </c>
      <c r="F193" s="41" t="s">
        <v>1206</v>
      </c>
      <c r="G193" s="41" t="s">
        <v>1207</v>
      </c>
      <c r="H193" s="47" t="s">
        <v>17</v>
      </c>
      <c r="I193" s="46" t="s">
        <v>73</v>
      </c>
      <c r="J193" s="42" t="s">
        <v>103</v>
      </c>
      <c r="K193" s="41" t="s">
        <v>74</v>
      </c>
      <c r="L193" s="46"/>
      <c r="M193" s="46" t="s">
        <v>113</v>
      </c>
      <c r="N193" s="46" t="s">
        <v>23</v>
      </c>
      <c r="O193" s="46" t="s">
        <v>996</v>
      </c>
    </row>
    <row r="194" spans="1:15" ht="115.5" hidden="1" customHeight="1" x14ac:dyDescent="0.25">
      <c r="A194" s="31">
        <v>1198834</v>
      </c>
      <c r="B194" s="38" t="s">
        <v>981</v>
      </c>
      <c r="C194" s="46" t="s">
        <v>1574</v>
      </c>
      <c r="D194" s="46" t="s">
        <v>1575</v>
      </c>
      <c r="E194" s="41" t="s">
        <v>1576</v>
      </c>
      <c r="F194" s="41" t="s">
        <v>1206</v>
      </c>
      <c r="G194" s="41" t="s">
        <v>1207</v>
      </c>
      <c r="H194" s="47" t="s">
        <v>17</v>
      </c>
      <c r="I194" s="46" t="s">
        <v>73</v>
      </c>
      <c r="J194" s="42" t="s">
        <v>103</v>
      </c>
      <c r="K194" s="41" t="s">
        <v>74</v>
      </c>
      <c r="L194" s="46"/>
      <c r="M194" s="46" t="s">
        <v>113</v>
      </c>
      <c r="N194" s="46" t="s">
        <v>23</v>
      </c>
      <c r="O194" s="46" t="s">
        <v>996</v>
      </c>
    </row>
    <row r="195" spans="1:15" ht="136.5" hidden="1" customHeight="1" x14ac:dyDescent="0.25">
      <c r="A195" s="31">
        <v>1198835</v>
      </c>
      <c r="B195" s="38" t="s">
        <v>981</v>
      </c>
      <c r="C195" s="46" t="s">
        <v>1577</v>
      </c>
      <c r="D195" s="46" t="s">
        <v>1578</v>
      </c>
      <c r="E195" s="41" t="s">
        <v>1579</v>
      </c>
      <c r="F195" s="41" t="s">
        <v>1206</v>
      </c>
      <c r="G195" s="41" t="s">
        <v>1207</v>
      </c>
      <c r="H195" s="47" t="s">
        <v>17</v>
      </c>
      <c r="I195" s="46" t="s">
        <v>73</v>
      </c>
      <c r="J195" s="42" t="s">
        <v>103</v>
      </c>
      <c r="K195" s="41" t="s">
        <v>74</v>
      </c>
      <c r="L195" s="46"/>
      <c r="M195" s="46" t="s">
        <v>113</v>
      </c>
      <c r="N195" s="46" t="s">
        <v>23</v>
      </c>
      <c r="O195" s="46" t="s">
        <v>996</v>
      </c>
    </row>
    <row r="196" spans="1:15" ht="123" hidden="1" customHeight="1" x14ac:dyDescent="0.25">
      <c r="A196" s="31">
        <v>1198837</v>
      </c>
      <c r="B196" s="38" t="s">
        <v>981</v>
      </c>
      <c r="C196" s="46" t="s">
        <v>1580</v>
      </c>
      <c r="D196" s="46" t="s">
        <v>1581</v>
      </c>
      <c r="E196" s="41" t="s">
        <v>1582</v>
      </c>
      <c r="F196" s="41" t="s">
        <v>1244</v>
      </c>
      <c r="G196" s="41" t="s">
        <v>1245</v>
      </c>
      <c r="H196" s="47" t="s">
        <v>17</v>
      </c>
      <c r="I196" s="46" t="s">
        <v>73</v>
      </c>
      <c r="J196" s="40" t="s">
        <v>506</v>
      </c>
      <c r="K196" s="41" t="s">
        <v>74</v>
      </c>
      <c r="L196" s="46"/>
      <c r="M196" s="46" t="s">
        <v>22</v>
      </c>
      <c r="N196" s="46" t="s">
        <v>23</v>
      </c>
      <c r="O196" s="46" t="s">
        <v>996</v>
      </c>
    </row>
    <row r="197" spans="1:15" ht="123" hidden="1" customHeight="1" x14ac:dyDescent="0.25">
      <c r="A197" s="31">
        <v>1198838</v>
      </c>
      <c r="B197" s="38" t="s">
        <v>981</v>
      </c>
      <c r="C197" s="46" t="s">
        <v>1583</v>
      </c>
      <c r="D197" s="46" t="s">
        <v>1584</v>
      </c>
      <c r="E197" s="41" t="s">
        <v>1585</v>
      </c>
      <c r="F197" s="41" t="s">
        <v>1586</v>
      </c>
      <c r="G197" s="41" t="s">
        <v>1245</v>
      </c>
      <c r="H197" s="47" t="s">
        <v>17</v>
      </c>
      <c r="I197" s="46" t="s">
        <v>73</v>
      </c>
      <c r="J197" s="40" t="s">
        <v>506</v>
      </c>
      <c r="K197" s="41" t="s">
        <v>74</v>
      </c>
      <c r="L197" s="46"/>
      <c r="M197" s="46" t="s">
        <v>22</v>
      </c>
      <c r="N197" s="46" t="s">
        <v>23</v>
      </c>
      <c r="O197" s="46" t="s">
        <v>996</v>
      </c>
    </row>
    <row r="198" spans="1:15" ht="123" hidden="1" customHeight="1" x14ac:dyDescent="0.25">
      <c r="A198" s="31">
        <v>1198839</v>
      </c>
      <c r="B198" s="38" t="s">
        <v>981</v>
      </c>
      <c r="C198" s="46" t="s">
        <v>1587</v>
      </c>
      <c r="D198" s="46" t="s">
        <v>1588</v>
      </c>
      <c r="E198" s="41" t="s">
        <v>1589</v>
      </c>
      <c r="F198" s="41" t="s">
        <v>1244</v>
      </c>
      <c r="G198" s="41" t="s">
        <v>1245</v>
      </c>
      <c r="H198" s="47" t="s">
        <v>17</v>
      </c>
      <c r="I198" s="46" t="s">
        <v>73</v>
      </c>
      <c r="J198" s="40" t="s">
        <v>506</v>
      </c>
      <c r="K198" s="41" t="s">
        <v>74</v>
      </c>
      <c r="L198" s="46"/>
      <c r="M198" s="46" t="s">
        <v>22</v>
      </c>
      <c r="N198" s="46" t="s">
        <v>23</v>
      </c>
      <c r="O198" s="46" t="s">
        <v>996</v>
      </c>
    </row>
    <row r="199" spans="1:15" ht="123" hidden="1" customHeight="1" x14ac:dyDescent="0.25">
      <c r="A199" s="31">
        <v>1198840</v>
      </c>
      <c r="B199" s="38" t="s">
        <v>981</v>
      </c>
      <c r="C199" s="46" t="s">
        <v>1590</v>
      </c>
      <c r="D199" s="46" t="s">
        <v>1591</v>
      </c>
      <c r="E199" s="41" t="s">
        <v>1592</v>
      </c>
      <c r="F199" s="41" t="s">
        <v>1244</v>
      </c>
      <c r="G199" s="41" t="s">
        <v>1245</v>
      </c>
      <c r="H199" s="47" t="s">
        <v>17</v>
      </c>
      <c r="I199" s="46" t="s">
        <v>73</v>
      </c>
      <c r="J199" s="40" t="s">
        <v>506</v>
      </c>
      <c r="K199" s="41" t="s">
        <v>74</v>
      </c>
      <c r="L199" s="46"/>
      <c r="M199" s="46" t="s">
        <v>22</v>
      </c>
      <c r="N199" s="46" t="s">
        <v>23</v>
      </c>
      <c r="O199" s="46" t="s">
        <v>996</v>
      </c>
    </row>
    <row r="200" spans="1:15" ht="136.5" hidden="1" customHeight="1" x14ac:dyDescent="0.25">
      <c r="A200" s="31">
        <v>1198841</v>
      </c>
      <c r="B200" s="38" t="s">
        <v>981</v>
      </c>
      <c r="C200" s="46" t="s">
        <v>1593</v>
      </c>
      <c r="D200" s="46" t="s">
        <v>1594</v>
      </c>
      <c r="E200" s="41" t="s">
        <v>1257</v>
      </c>
      <c r="F200" s="41" t="s">
        <v>1595</v>
      </c>
      <c r="G200" s="41" t="s">
        <v>1245</v>
      </c>
      <c r="H200" s="47" t="s">
        <v>17</v>
      </c>
      <c r="I200" s="46" t="s">
        <v>73</v>
      </c>
      <c r="J200" s="40" t="s">
        <v>506</v>
      </c>
      <c r="K200" s="41" t="s">
        <v>74</v>
      </c>
      <c r="L200" s="46"/>
      <c r="M200" s="46" t="s">
        <v>22</v>
      </c>
      <c r="N200" s="46" t="s">
        <v>23</v>
      </c>
      <c r="O200" s="46" t="s">
        <v>996</v>
      </c>
    </row>
    <row r="201" spans="1:15" ht="136.5" hidden="1" customHeight="1" x14ac:dyDescent="0.25">
      <c r="A201" s="31">
        <v>1198842</v>
      </c>
      <c r="B201" s="38" t="s">
        <v>981</v>
      </c>
      <c r="C201" s="46" t="s">
        <v>1596</v>
      </c>
      <c r="D201" s="46" t="s">
        <v>1597</v>
      </c>
      <c r="E201" s="41" t="s">
        <v>1598</v>
      </c>
      <c r="F201" s="41" t="s">
        <v>1244</v>
      </c>
      <c r="G201" s="41" t="s">
        <v>1245</v>
      </c>
      <c r="H201" s="47" t="s">
        <v>17</v>
      </c>
      <c r="I201" s="46" t="s">
        <v>73</v>
      </c>
      <c r="J201" s="40" t="s">
        <v>506</v>
      </c>
      <c r="K201" s="41" t="s">
        <v>74</v>
      </c>
      <c r="L201" s="46"/>
      <c r="M201" s="46" t="s">
        <v>22</v>
      </c>
      <c r="N201" s="46" t="s">
        <v>23</v>
      </c>
      <c r="O201" s="46" t="s">
        <v>996</v>
      </c>
    </row>
    <row r="202" spans="1:15" ht="123" hidden="1" customHeight="1" x14ac:dyDescent="0.25">
      <c r="A202" s="31">
        <v>1198843</v>
      </c>
      <c r="B202" s="38" t="s">
        <v>981</v>
      </c>
      <c r="C202" s="46" t="s">
        <v>1599</v>
      </c>
      <c r="D202" s="46" t="s">
        <v>1600</v>
      </c>
      <c r="E202" s="41" t="s">
        <v>1601</v>
      </c>
      <c r="F202" s="41" t="s">
        <v>1206</v>
      </c>
      <c r="G202" s="41" t="s">
        <v>1264</v>
      </c>
      <c r="H202" s="47" t="s">
        <v>17</v>
      </c>
      <c r="I202" s="46" t="s">
        <v>73</v>
      </c>
      <c r="J202" s="42" t="s">
        <v>103</v>
      </c>
      <c r="K202" s="41" t="s">
        <v>74</v>
      </c>
      <c r="L202" s="46"/>
      <c r="M202" s="46" t="s">
        <v>113</v>
      </c>
      <c r="N202" s="46" t="s">
        <v>23</v>
      </c>
      <c r="O202" s="46" t="s">
        <v>996</v>
      </c>
    </row>
    <row r="203" spans="1:15" ht="123" hidden="1" customHeight="1" x14ac:dyDescent="0.25">
      <c r="A203" s="31">
        <v>1198844</v>
      </c>
      <c r="B203" s="38" t="s">
        <v>981</v>
      </c>
      <c r="C203" s="46" t="s">
        <v>1602</v>
      </c>
      <c r="D203" s="46" t="s">
        <v>1603</v>
      </c>
      <c r="E203" s="41" t="s">
        <v>1604</v>
      </c>
      <c r="F203" s="41" t="s">
        <v>1206</v>
      </c>
      <c r="G203" s="41" t="s">
        <v>1268</v>
      </c>
      <c r="H203" s="47" t="s">
        <v>17</v>
      </c>
      <c r="I203" s="46" t="s">
        <v>73</v>
      </c>
      <c r="J203" s="42" t="s">
        <v>103</v>
      </c>
      <c r="K203" s="41" t="s">
        <v>74</v>
      </c>
      <c r="L203" s="46"/>
      <c r="M203" s="46" t="s">
        <v>113</v>
      </c>
      <c r="N203" s="46" t="s">
        <v>23</v>
      </c>
      <c r="O203" s="46" t="s">
        <v>996</v>
      </c>
    </row>
    <row r="204" spans="1:15" ht="123" hidden="1" customHeight="1" x14ac:dyDescent="0.25">
      <c r="A204" s="31">
        <v>1198845</v>
      </c>
      <c r="B204" s="38" t="s">
        <v>981</v>
      </c>
      <c r="C204" s="46" t="s">
        <v>1605</v>
      </c>
      <c r="D204" s="46" t="s">
        <v>1606</v>
      </c>
      <c r="E204" s="41" t="s">
        <v>1607</v>
      </c>
      <c r="F204" s="41" t="s">
        <v>1206</v>
      </c>
      <c r="G204" s="41" t="s">
        <v>1272</v>
      </c>
      <c r="H204" s="47" t="s">
        <v>17</v>
      </c>
      <c r="I204" s="46" t="s">
        <v>73</v>
      </c>
      <c r="J204" s="42" t="s">
        <v>103</v>
      </c>
      <c r="K204" s="41" t="s">
        <v>74</v>
      </c>
      <c r="L204" s="46"/>
      <c r="M204" s="46" t="s">
        <v>113</v>
      </c>
      <c r="N204" s="46" t="s">
        <v>23</v>
      </c>
      <c r="O204" s="46" t="s">
        <v>996</v>
      </c>
    </row>
    <row r="205" spans="1:15" ht="123" hidden="1" customHeight="1" x14ac:dyDescent="0.25">
      <c r="A205" s="31">
        <v>1198846</v>
      </c>
      <c r="B205" s="38" t="s">
        <v>981</v>
      </c>
      <c r="C205" s="46" t="s">
        <v>1608</v>
      </c>
      <c r="D205" s="46" t="s">
        <v>1609</v>
      </c>
      <c r="E205" s="41" t="s">
        <v>1610</v>
      </c>
      <c r="F205" s="41" t="s">
        <v>1206</v>
      </c>
      <c r="G205" s="41" t="s">
        <v>1276</v>
      </c>
      <c r="H205" s="47" t="s">
        <v>17</v>
      </c>
      <c r="I205" s="46" t="s">
        <v>73</v>
      </c>
      <c r="J205" s="42" t="s">
        <v>103</v>
      </c>
      <c r="K205" s="41" t="s">
        <v>74</v>
      </c>
      <c r="L205" s="46"/>
      <c r="M205" s="46" t="s">
        <v>113</v>
      </c>
      <c r="N205" s="46" t="s">
        <v>23</v>
      </c>
      <c r="O205" s="46" t="s">
        <v>996</v>
      </c>
    </row>
    <row r="206" spans="1:15" ht="96" hidden="1" customHeight="1" x14ac:dyDescent="0.25">
      <c r="A206" s="31">
        <v>1198847</v>
      </c>
      <c r="B206" s="38" t="s">
        <v>981</v>
      </c>
      <c r="C206" s="46" t="s">
        <v>1611</v>
      </c>
      <c r="D206" s="46" t="s">
        <v>1612</v>
      </c>
      <c r="E206" s="41" t="s">
        <v>1613</v>
      </c>
      <c r="F206" s="41" t="s">
        <v>1614</v>
      </c>
      <c r="G206" s="41" t="s">
        <v>1615</v>
      </c>
      <c r="H206" s="47" t="s">
        <v>17</v>
      </c>
      <c r="I206" s="46" t="s">
        <v>73</v>
      </c>
      <c r="J206" s="40" t="s">
        <v>506</v>
      </c>
      <c r="K206" s="41" t="s">
        <v>74</v>
      </c>
      <c r="L206" s="46"/>
      <c r="M206" s="46" t="s">
        <v>22</v>
      </c>
      <c r="N206" s="46" t="s">
        <v>23</v>
      </c>
      <c r="O206" s="46" t="s">
        <v>996</v>
      </c>
    </row>
    <row r="207" spans="1:15" ht="96" customHeight="1" x14ac:dyDescent="0.25">
      <c r="A207" s="31">
        <v>1198848</v>
      </c>
      <c r="B207" s="38" t="s">
        <v>981</v>
      </c>
      <c r="C207" s="46" t="s">
        <v>1616</v>
      </c>
      <c r="D207" s="46" t="s">
        <v>1617</v>
      </c>
      <c r="E207" s="41" t="s">
        <v>1613</v>
      </c>
      <c r="F207" s="41" t="s">
        <v>1301</v>
      </c>
      <c r="G207" s="41" t="s">
        <v>1618</v>
      </c>
      <c r="H207" s="47" t="s">
        <v>17</v>
      </c>
      <c r="I207" s="46" t="s">
        <v>73</v>
      </c>
      <c r="J207" s="42" t="s">
        <v>103</v>
      </c>
      <c r="K207" s="41" t="s">
        <v>74</v>
      </c>
      <c r="L207" s="46"/>
      <c r="M207" s="46" t="s">
        <v>113</v>
      </c>
      <c r="N207" s="46" t="s">
        <v>23</v>
      </c>
      <c r="O207" s="46" t="s">
        <v>996</v>
      </c>
    </row>
    <row r="208" spans="1:15" ht="96" customHeight="1" x14ac:dyDescent="0.25">
      <c r="A208" s="31">
        <v>1198849</v>
      </c>
      <c r="B208" s="38" t="s">
        <v>981</v>
      </c>
      <c r="C208" s="46" t="s">
        <v>1619</v>
      </c>
      <c r="D208" s="46" t="s">
        <v>1620</v>
      </c>
      <c r="E208" s="41" t="s">
        <v>1613</v>
      </c>
      <c r="F208" s="41" t="s">
        <v>1323</v>
      </c>
      <c r="G208" s="41" t="s">
        <v>1621</v>
      </c>
      <c r="H208" s="47" t="s">
        <v>17</v>
      </c>
      <c r="I208" s="46" t="s">
        <v>73</v>
      </c>
      <c r="J208" s="48" t="s">
        <v>19</v>
      </c>
      <c r="K208" s="41" t="s">
        <v>74</v>
      </c>
      <c r="L208" s="46"/>
      <c r="M208" s="46" t="s">
        <v>76</v>
      </c>
      <c r="N208" s="46" t="s">
        <v>23</v>
      </c>
      <c r="O208" s="46" t="s">
        <v>996</v>
      </c>
    </row>
    <row r="209" spans="1:15" ht="92.25" hidden="1" customHeight="1" x14ac:dyDescent="0.25">
      <c r="A209" s="31">
        <v>1198850</v>
      </c>
      <c r="B209" s="38" t="s">
        <v>981</v>
      </c>
      <c r="C209" s="46" t="s">
        <v>1622</v>
      </c>
      <c r="D209" s="46" t="s">
        <v>1623</v>
      </c>
      <c r="E209" s="41" t="s">
        <v>1624</v>
      </c>
      <c r="F209" s="41" t="s">
        <v>1328</v>
      </c>
      <c r="G209" s="41" t="s">
        <v>1625</v>
      </c>
      <c r="H209" s="47" t="s">
        <v>17</v>
      </c>
      <c r="I209" s="46" t="s">
        <v>73</v>
      </c>
      <c r="J209" s="40" t="s">
        <v>506</v>
      </c>
      <c r="K209" s="41" t="s">
        <v>74</v>
      </c>
      <c r="L209" s="46"/>
      <c r="M209" s="46" t="s">
        <v>22</v>
      </c>
      <c r="N209" s="46" t="s">
        <v>23</v>
      </c>
      <c r="O209" s="46" t="s">
        <v>996</v>
      </c>
    </row>
    <row r="210" spans="1:15" ht="86.25" hidden="1" customHeight="1" x14ac:dyDescent="0.25">
      <c r="A210" s="31">
        <v>1198851</v>
      </c>
      <c r="B210" s="38" t="s">
        <v>981</v>
      </c>
      <c r="C210" s="46" t="s">
        <v>1626</v>
      </c>
      <c r="D210" s="46" t="s">
        <v>1627</v>
      </c>
      <c r="E210" s="41" t="s">
        <v>1628</v>
      </c>
      <c r="F210" s="41" t="s">
        <v>1333</v>
      </c>
      <c r="G210" s="41" t="s">
        <v>1334</v>
      </c>
      <c r="H210" s="47" t="s">
        <v>17</v>
      </c>
      <c r="I210" s="46" t="s">
        <v>73</v>
      </c>
      <c r="J210" s="42" t="s">
        <v>103</v>
      </c>
      <c r="K210" s="41" t="s">
        <v>74</v>
      </c>
      <c r="L210" s="46"/>
      <c r="M210" s="46" t="s">
        <v>113</v>
      </c>
      <c r="N210" s="46" t="s">
        <v>23</v>
      </c>
      <c r="O210" s="46" t="s">
        <v>996</v>
      </c>
    </row>
    <row r="211" spans="1:15" ht="82.5" hidden="1" customHeight="1" x14ac:dyDescent="0.25">
      <c r="A211" s="31">
        <v>1198852</v>
      </c>
      <c r="B211" s="38" t="s">
        <v>981</v>
      </c>
      <c r="C211" s="46" t="s">
        <v>1629</v>
      </c>
      <c r="D211" s="46" t="s">
        <v>1630</v>
      </c>
      <c r="E211" s="41" t="s">
        <v>1628</v>
      </c>
      <c r="F211" s="41" t="s">
        <v>1631</v>
      </c>
      <c r="G211" s="41" t="s">
        <v>1334</v>
      </c>
      <c r="H211" s="47" t="s">
        <v>17</v>
      </c>
      <c r="I211" s="46" t="s">
        <v>73</v>
      </c>
      <c r="J211" s="42" t="s">
        <v>103</v>
      </c>
      <c r="K211" s="41" t="s">
        <v>74</v>
      </c>
      <c r="L211" s="46"/>
      <c r="M211" s="46" t="s">
        <v>113</v>
      </c>
      <c r="N211" s="46" t="s">
        <v>23</v>
      </c>
      <c r="O211" s="46" t="s">
        <v>996</v>
      </c>
    </row>
    <row r="212" spans="1:15" ht="82.5" hidden="1" customHeight="1" x14ac:dyDescent="0.25">
      <c r="A212" s="31">
        <v>1198853</v>
      </c>
      <c r="B212" s="38" t="s">
        <v>981</v>
      </c>
      <c r="C212" s="46" t="s">
        <v>1632</v>
      </c>
      <c r="D212" s="46" t="s">
        <v>1633</v>
      </c>
      <c r="E212" s="41" t="s">
        <v>1628</v>
      </c>
      <c r="F212" s="41" t="s">
        <v>1340</v>
      </c>
      <c r="G212" s="41" t="s">
        <v>1334</v>
      </c>
      <c r="H212" s="47" t="s">
        <v>17</v>
      </c>
      <c r="I212" s="46" t="s">
        <v>73</v>
      </c>
      <c r="J212" s="42" t="s">
        <v>103</v>
      </c>
      <c r="K212" s="41" t="s">
        <v>74</v>
      </c>
      <c r="L212" s="46"/>
      <c r="M212" s="46" t="s">
        <v>113</v>
      </c>
      <c r="N212" s="46" t="s">
        <v>23</v>
      </c>
      <c r="O212" s="46" t="s">
        <v>996</v>
      </c>
    </row>
    <row r="213" spans="1:15" ht="82.5" hidden="1" customHeight="1" x14ac:dyDescent="0.25">
      <c r="A213" s="31">
        <v>1198854</v>
      </c>
      <c r="B213" s="38" t="s">
        <v>981</v>
      </c>
      <c r="C213" s="46" t="s">
        <v>1634</v>
      </c>
      <c r="D213" s="46" t="s">
        <v>1635</v>
      </c>
      <c r="E213" s="41" t="s">
        <v>1628</v>
      </c>
      <c r="F213" s="41" t="s">
        <v>1343</v>
      </c>
      <c r="G213" s="41" t="s">
        <v>1334</v>
      </c>
      <c r="H213" s="47" t="s">
        <v>17</v>
      </c>
      <c r="I213" s="46" t="s">
        <v>73</v>
      </c>
      <c r="J213" s="42" t="s">
        <v>103</v>
      </c>
      <c r="K213" s="41" t="s">
        <v>74</v>
      </c>
      <c r="L213" s="46"/>
      <c r="M213" s="46" t="s">
        <v>113</v>
      </c>
      <c r="N213" s="46" t="s">
        <v>23</v>
      </c>
      <c r="O213" s="46" t="s">
        <v>996</v>
      </c>
    </row>
    <row r="214" spans="1:15" ht="82.5" hidden="1" customHeight="1" x14ac:dyDescent="0.25">
      <c r="A214" s="31">
        <v>1198855</v>
      </c>
      <c r="B214" s="38" t="s">
        <v>981</v>
      </c>
      <c r="C214" s="46" t="s">
        <v>1636</v>
      </c>
      <c r="D214" s="46" t="s">
        <v>1637</v>
      </c>
      <c r="E214" s="41" t="s">
        <v>1628</v>
      </c>
      <c r="F214" s="41" t="s">
        <v>1346</v>
      </c>
      <c r="G214" s="41" t="s">
        <v>1334</v>
      </c>
      <c r="H214" s="47" t="s">
        <v>17</v>
      </c>
      <c r="I214" s="46" t="s">
        <v>73</v>
      </c>
      <c r="J214" s="42" t="s">
        <v>103</v>
      </c>
      <c r="K214" s="41" t="s">
        <v>74</v>
      </c>
      <c r="L214" s="46"/>
      <c r="M214" s="46" t="s">
        <v>113</v>
      </c>
      <c r="N214" s="46" t="s">
        <v>23</v>
      </c>
      <c r="O214" s="46" t="s">
        <v>996</v>
      </c>
    </row>
    <row r="215" spans="1:15" ht="82.5" hidden="1" customHeight="1" x14ac:dyDescent="0.25">
      <c r="A215" s="31">
        <v>1198856</v>
      </c>
      <c r="B215" s="38" t="s">
        <v>981</v>
      </c>
      <c r="C215" s="46" t="s">
        <v>1638</v>
      </c>
      <c r="D215" s="46" t="s">
        <v>1639</v>
      </c>
      <c r="E215" s="41" t="s">
        <v>1628</v>
      </c>
      <c r="F215" s="41" t="s">
        <v>1349</v>
      </c>
      <c r="G215" s="41" t="s">
        <v>1334</v>
      </c>
      <c r="H215" s="47" t="s">
        <v>17</v>
      </c>
      <c r="I215" s="46" t="s">
        <v>73</v>
      </c>
      <c r="J215" s="42" t="s">
        <v>103</v>
      </c>
      <c r="K215" s="41" t="s">
        <v>74</v>
      </c>
      <c r="L215" s="46"/>
      <c r="M215" s="46" t="s">
        <v>113</v>
      </c>
      <c r="N215" s="46" t="s">
        <v>23</v>
      </c>
      <c r="O215" s="46" t="s">
        <v>996</v>
      </c>
    </row>
    <row r="216" spans="1:15" ht="82.5" hidden="1" customHeight="1" x14ac:dyDescent="0.25">
      <c r="A216" s="31">
        <v>1198857</v>
      </c>
      <c r="B216" s="38" t="s">
        <v>981</v>
      </c>
      <c r="C216" s="46" t="s">
        <v>1640</v>
      </c>
      <c r="D216" s="46" t="s">
        <v>1641</v>
      </c>
      <c r="E216" s="41" t="s">
        <v>1628</v>
      </c>
      <c r="F216" s="41" t="s">
        <v>1352</v>
      </c>
      <c r="G216" s="41" t="s">
        <v>1334</v>
      </c>
      <c r="H216" s="47" t="s">
        <v>17</v>
      </c>
      <c r="I216" s="46" t="s">
        <v>73</v>
      </c>
      <c r="J216" s="42" t="s">
        <v>103</v>
      </c>
      <c r="K216" s="41" t="s">
        <v>74</v>
      </c>
      <c r="L216" s="46"/>
      <c r="M216" s="46" t="s">
        <v>113</v>
      </c>
      <c r="N216" s="46" t="s">
        <v>23</v>
      </c>
      <c r="O216" s="46" t="s">
        <v>996</v>
      </c>
    </row>
    <row r="217" spans="1:15" ht="82.5" hidden="1" customHeight="1" x14ac:dyDescent="0.25">
      <c r="A217" s="31">
        <v>1198858</v>
      </c>
      <c r="B217" s="38" t="s">
        <v>981</v>
      </c>
      <c r="C217" s="46" t="s">
        <v>1642</v>
      </c>
      <c r="D217" s="46" t="s">
        <v>1643</v>
      </c>
      <c r="E217" s="41" t="s">
        <v>1628</v>
      </c>
      <c r="F217" s="41" t="s">
        <v>1355</v>
      </c>
      <c r="G217" s="41" t="s">
        <v>1334</v>
      </c>
      <c r="H217" s="47" t="s">
        <v>17</v>
      </c>
      <c r="I217" s="46" t="s">
        <v>73</v>
      </c>
      <c r="J217" s="42" t="s">
        <v>103</v>
      </c>
      <c r="K217" s="41" t="s">
        <v>74</v>
      </c>
      <c r="L217" s="46"/>
      <c r="M217" s="46" t="s">
        <v>113</v>
      </c>
      <c r="N217" s="46" t="s">
        <v>23</v>
      </c>
      <c r="O217" s="46" t="s">
        <v>996</v>
      </c>
    </row>
    <row r="218" spans="1:15" ht="82.5" hidden="1" customHeight="1" x14ac:dyDescent="0.25">
      <c r="A218" s="31">
        <v>1198859</v>
      </c>
      <c r="B218" s="38" t="s">
        <v>981</v>
      </c>
      <c r="C218" s="46" t="s">
        <v>1644</v>
      </c>
      <c r="D218" s="46" t="s">
        <v>1645</v>
      </c>
      <c r="E218" s="41" t="s">
        <v>1628</v>
      </c>
      <c r="F218" s="41" t="s">
        <v>1358</v>
      </c>
      <c r="G218" s="41" t="s">
        <v>1334</v>
      </c>
      <c r="H218" s="47" t="s">
        <v>17</v>
      </c>
      <c r="I218" s="46" t="s">
        <v>73</v>
      </c>
      <c r="J218" s="42" t="s">
        <v>103</v>
      </c>
      <c r="K218" s="41" t="s">
        <v>74</v>
      </c>
      <c r="L218" s="46"/>
      <c r="M218" s="46" t="s">
        <v>113</v>
      </c>
      <c r="N218" s="46" t="s">
        <v>23</v>
      </c>
      <c r="O218" s="46" t="s">
        <v>996</v>
      </c>
    </row>
    <row r="219" spans="1:15" ht="68.25" hidden="1" customHeight="1" x14ac:dyDescent="0.25">
      <c r="A219" s="31">
        <v>1198860</v>
      </c>
      <c r="B219" s="38" t="s">
        <v>981</v>
      </c>
      <c r="C219" s="46" t="s">
        <v>1646</v>
      </c>
      <c r="D219" s="46" t="s">
        <v>1647</v>
      </c>
      <c r="E219" s="41" t="s">
        <v>1628</v>
      </c>
      <c r="F219" s="41" t="s">
        <v>1361</v>
      </c>
      <c r="G219" s="41" t="s">
        <v>1362</v>
      </c>
      <c r="H219" s="47" t="s">
        <v>17</v>
      </c>
      <c r="I219" s="46" t="s">
        <v>73</v>
      </c>
      <c r="J219" s="42" t="s">
        <v>103</v>
      </c>
      <c r="K219" s="41" t="s">
        <v>74</v>
      </c>
      <c r="L219" s="46"/>
      <c r="M219" s="46" t="s">
        <v>113</v>
      </c>
      <c r="N219" s="46" t="s">
        <v>23</v>
      </c>
      <c r="O219" s="46" t="s">
        <v>996</v>
      </c>
    </row>
    <row r="220" spans="1:15" ht="82.5" hidden="1" customHeight="1" x14ac:dyDescent="0.25">
      <c r="A220" s="31">
        <v>1198861</v>
      </c>
      <c r="B220" s="38" t="s">
        <v>981</v>
      </c>
      <c r="C220" s="46" t="s">
        <v>1648</v>
      </c>
      <c r="D220" s="46" t="s">
        <v>1649</v>
      </c>
      <c r="E220" s="41" t="s">
        <v>1628</v>
      </c>
      <c r="F220" s="41" t="s">
        <v>1365</v>
      </c>
      <c r="G220" s="41" t="s">
        <v>1334</v>
      </c>
      <c r="H220" s="47" t="s">
        <v>17</v>
      </c>
      <c r="I220" s="46" t="s">
        <v>73</v>
      </c>
      <c r="J220" s="42" t="s">
        <v>103</v>
      </c>
      <c r="K220" s="41" t="s">
        <v>74</v>
      </c>
      <c r="L220" s="46"/>
      <c r="M220" s="46" t="s">
        <v>113</v>
      </c>
      <c r="N220" s="46" t="s">
        <v>23</v>
      </c>
      <c r="O220" s="46" t="s">
        <v>996</v>
      </c>
    </row>
    <row r="221" spans="1:15" ht="82.5" hidden="1" customHeight="1" x14ac:dyDescent="0.25">
      <c r="A221" s="31">
        <v>1198862</v>
      </c>
      <c r="B221" s="38" t="s">
        <v>981</v>
      </c>
      <c r="C221" s="46" t="s">
        <v>1650</v>
      </c>
      <c r="D221" s="46" t="s">
        <v>1651</v>
      </c>
      <c r="E221" s="41" t="s">
        <v>1628</v>
      </c>
      <c r="F221" s="41" t="s">
        <v>1368</v>
      </c>
      <c r="G221" s="41" t="s">
        <v>1334</v>
      </c>
      <c r="H221" s="47" t="s">
        <v>17</v>
      </c>
      <c r="I221" s="46" t="s">
        <v>73</v>
      </c>
      <c r="J221" s="42" t="s">
        <v>103</v>
      </c>
      <c r="K221" s="41" t="s">
        <v>74</v>
      </c>
      <c r="L221" s="46"/>
      <c r="M221" s="46" t="s">
        <v>113</v>
      </c>
      <c r="N221" s="46" t="s">
        <v>23</v>
      </c>
      <c r="O221" s="46" t="s">
        <v>996</v>
      </c>
    </row>
    <row r="222" spans="1:15" ht="68.25" hidden="1" customHeight="1" x14ac:dyDescent="0.25">
      <c r="A222" s="31">
        <v>1198863</v>
      </c>
      <c r="B222" s="38" t="s">
        <v>981</v>
      </c>
      <c r="C222" s="46" t="s">
        <v>1652</v>
      </c>
      <c r="D222" s="46" t="s">
        <v>1653</v>
      </c>
      <c r="E222" s="41" t="s">
        <v>1628</v>
      </c>
      <c r="F222" s="41" t="s">
        <v>1371</v>
      </c>
      <c r="G222" s="41" t="s">
        <v>1372</v>
      </c>
      <c r="H222" s="47" t="s">
        <v>17</v>
      </c>
      <c r="I222" s="46" t="s">
        <v>73</v>
      </c>
      <c r="J222" s="42" t="s">
        <v>103</v>
      </c>
      <c r="K222" s="41" t="s">
        <v>74</v>
      </c>
      <c r="L222" s="46"/>
      <c r="M222" s="46" t="s">
        <v>113</v>
      </c>
      <c r="N222" s="46" t="s">
        <v>23</v>
      </c>
      <c r="O222" s="46" t="s">
        <v>996</v>
      </c>
    </row>
    <row r="223" spans="1:15" ht="96" customHeight="1" x14ac:dyDescent="0.25">
      <c r="A223" s="31">
        <v>1198864</v>
      </c>
      <c r="B223" s="38" t="s">
        <v>981</v>
      </c>
      <c r="C223" s="46" t="s">
        <v>1654</v>
      </c>
      <c r="D223" s="46" t="s">
        <v>1655</v>
      </c>
      <c r="E223" s="41" t="s">
        <v>1628</v>
      </c>
      <c r="F223" s="41" t="s">
        <v>1375</v>
      </c>
      <c r="G223" s="41" t="s">
        <v>1334</v>
      </c>
      <c r="H223" s="47" t="s">
        <v>17</v>
      </c>
      <c r="I223" s="46" t="s">
        <v>73</v>
      </c>
      <c r="J223" s="42" t="s">
        <v>103</v>
      </c>
      <c r="K223" s="41" t="s">
        <v>74</v>
      </c>
      <c r="L223" s="46"/>
      <c r="M223" s="46" t="s">
        <v>113</v>
      </c>
      <c r="N223" s="46" t="s">
        <v>23</v>
      </c>
      <c r="O223" s="46" t="s">
        <v>996</v>
      </c>
    </row>
    <row r="224" spans="1:15" ht="68.25" hidden="1" customHeight="1" x14ac:dyDescent="0.25">
      <c r="A224" s="31">
        <v>1198865</v>
      </c>
      <c r="B224" s="38" t="s">
        <v>981</v>
      </c>
      <c r="C224" s="46" t="s">
        <v>1656</v>
      </c>
      <c r="D224" s="46" t="s">
        <v>1657</v>
      </c>
      <c r="E224" s="41" t="s">
        <v>1628</v>
      </c>
      <c r="F224" s="41" t="s">
        <v>1378</v>
      </c>
      <c r="G224" s="41" t="s">
        <v>1362</v>
      </c>
      <c r="H224" s="47" t="s">
        <v>17</v>
      </c>
      <c r="I224" s="46" t="s">
        <v>73</v>
      </c>
      <c r="J224" s="42" t="s">
        <v>103</v>
      </c>
      <c r="K224" s="41" t="s">
        <v>74</v>
      </c>
      <c r="L224" s="46"/>
      <c r="M224" s="46" t="s">
        <v>113</v>
      </c>
      <c r="N224" s="46" t="s">
        <v>23</v>
      </c>
      <c r="O224" s="46" t="s">
        <v>996</v>
      </c>
    </row>
    <row r="225" spans="1:15" ht="68.25" hidden="1" customHeight="1" x14ac:dyDescent="0.25">
      <c r="A225" s="31">
        <v>1198866</v>
      </c>
      <c r="B225" s="38" t="s">
        <v>981</v>
      </c>
      <c r="C225" s="46" t="s">
        <v>1658</v>
      </c>
      <c r="D225" s="46" t="s">
        <v>1659</v>
      </c>
      <c r="E225" s="41" t="s">
        <v>1628</v>
      </c>
      <c r="F225" s="41" t="s">
        <v>1381</v>
      </c>
      <c r="G225" s="41" t="s">
        <v>1362</v>
      </c>
      <c r="H225" s="47" t="s">
        <v>17</v>
      </c>
      <c r="I225" s="46" t="s">
        <v>73</v>
      </c>
      <c r="J225" s="42" t="s">
        <v>103</v>
      </c>
      <c r="K225" s="41" t="s">
        <v>74</v>
      </c>
      <c r="L225" s="46"/>
      <c r="M225" s="46" t="s">
        <v>113</v>
      </c>
      <c r="N225" s="46" t="s">
        <v>23</v>
      </c>
      <c r="O225" s="46" t="s">
        <v>996</v>
      </c>
    </row>
    <row r="226" spans="1:15" ht="68.25" hidden="1" customHeight="1" x14ac:dyDescent="0.25">
      <c r="A226" s="31">
        <v>1198867</v>
      </c>
      <c r="B226" s="38" t="s">
        <v>981</v>
      </c>
      <c r="C226" s="46" t="s">
        <v>1660</v>
      </c>
      <c r="D226" s="46" t="s">
        <v>1661</v>
      </c>
      <c r="E226" s="41" t="s">
        <v>1628</v>
      </c>
      <c r="F226" s="41" t="s">
        <v>1662</v>
      </c>
      <c r="G226" s="41" t="s">
        <v>1385</v>
      </c>
      <c r="H226" s="47" t="s">
        <v>17</v>
      </c>
      <c r="I226" s="46" t="s">
        <v>73</v>
      </c>
      <c r="J226" s="42" t="s">
        <v>103</v>
      </c>
      <c r="K226" s="41" t="s">
        <v>74</v>
      </c>
      <c r="L226" s="46"/>
      <c r="M226" s="46" t="s">
        <v>113</v>
      </c>
      <c r="N226" s="46" t="s">
        <v>23</v>
      </c>
      <c r="O226" s="46" t="s">
        <v>996</v>
      </c>
    </row>
    <row r="227" spans="1:15" ht="68.25" hidden="1" customHeight="1" x14ac:dyDescent="0.25">
      <c r="A227" s="31">
        <v>1198868</v>
      </c>
      <c r="B227" s="38" t="s">
        <v>981</v>
      </c>
      <c r="C227" s="46" t="s">
        <v>1663</v>
      </c>
      <c r="D227" s="46" t="s">
        <v>1664</v>
      </c>
      <c r="E227" s="41" t="s">
        <v>1628</v>
      </c>
      <c r="F227" s="41" t="s">
        <v>1388</v>
      </c>
      <c r="G227" s="41" t="s">
        <v>1362</v>
      </c>
      <c r="H227" s="47" t="s">
        <v>17</v>
      </c>
      <c r="I227" s="46" t="s">
        <v>73</v>
      </c>
      <c r="J227" s="42" t="s">
        <v>103</v>
      </c>
      <c r="K227" s="41" t="s">
        <v>74</v>
      </c>
      <c r="L227" s="46"/>
      <c r="M227" s="46" t="s">
        <v>113</v>
      </c>
      <c r="N227" s="46" t="s">
        <v>23</v>
      </c>
      <c r="O227" s="46" t="s">
        <v>996</v>
      </c>
    </row>
    <row r="228" spans="1:15" ht="82.5" hidden="1" customHeight="1" x14ac:dyDescent="0.25">
      <c r="A228" s="31">
        <v>1198869</v>
      </c>
      <c r="B228" s="38" t="s">
        <v>981</v>
      </c>
      <c r="C228" s="46" t="s">
        <v>1665</v>
      </c>
      <c r="D228" s="46" t="s">
        <v>1666</v>
      </c>
      <c r="E228" s="41" t="s">
        <v>1628</v>
      </c>
      <c r="F228" s="41" t="s">
        <v>1399</v>
      </c>
      <c r="G228" s="41" t="s">
        <v>1334</v>
      </c>
      <c r="H228" s="47" t="s">
        <v>17</v>
      </c>
      <c r="I228" s="46" t="s">
        <v>73</v>
      </c>
      <c r="J228" s="42" t="s">
        <v>103</v>
      </c>
      <c r="K228" s="41" t="s">
        <v>74</v>
      </c>
      <c r="L228" s="46"/>
      <c r="M228" s="46" t="s">
        <v>113</v>
      </c>
      <c r="N228" s="46" t="s">
        <v>23</v>
      </c>
      <c r="O228" s="46" t="s">
        <v>996</v>
      </c>
    </row>
    <row r="229" spans="1:15" ht="68.25" hidden="1" customHeight="1" x14ac:dyDescent="0.25">
      <c r="A229" s="31">
        <v>1198870</v>
      </c>
      <c r="B229" s="38" t="s">
        <v>981</v>
      </c>
      <c r="C229" s="46" t="s">
        <v>1667</v>
      </c>
      <c r="D229" s="46" t="s">
        <v>1668</v>
      </c>
      <c r="E229" s="41" t="s">
        <v>1669</v>
      </c>
      <c r="F229" s="41" t="s">
        <v>1391</v>
      </c>
      <c r="G229" s="41" t="s">
        <v>1392</v>
      </c>
      <c r="H229" s="47" t="s">
        <v>17</v>
      </c>
      <c r="I229" s="46" t="s">
        <v>73</v>
      </c>
      <c r="J229" s="42" t="s">
        <v>103</v>
      </c>
      <c r="K229" s="41" t="s">
        <v>74</v>
      </c>
      <c r="L229" s="46"/>
      <c r="M229" s="46" t="s">
        <v>113</v>
      </c>
      <c r="N229" s="46" t="s">
        <v>23</v>
      </c>
      <c r="O229" s="46" t="s">
        <v>996</v>
      </c>
    </row>
    <row r="230" spans="1:15" ht="68.25" hidden="1" customHeight="1" x14ac:dyDescent="0.25">
      <c r="A230" s="31">
        <v>1198871</v>
      </c>
      <c r="B230" s="38" t="s">
        <v>981</v>
      </c>
      <c r="C230" s="46" t="s">
        <v>1670</v>
      </c>
      <c r="D230" s="46" t="s">
        <v>1671</v>
      </c>
      <c r="E230" s="41" t="s">
        <v>1669</v>
      </c>
      <c r="F230" s="41" t="s">
        <v>1395</v>
      </c>
      <c r="G230" s="41" t="s">
        <v>1396</v>
      </c>
      <c r="H230" s="47" t="s">
        <v>17</v>
      </c>
      <c r="I230" s="46" t="s">
        <v>73</v>
      </c>
      <c r="J230" s="42" t="s">
        <v>103</v>
      </c>
      <c r="K230" s="41" t="s">
        <v>74</v>
      </c>
      <c r="L230" s="46"/>
      <c r="M230" s="46" t="s">
        <v>113</v>
      </c>
      <c r="N230" s="46" t="s">
        <v>23</v>
      </c>
      <c r="O230" s="46" t="s">
        <v>996</v>
      </c>
    </row>
    <row r="231" spans="1:15" ht="79.5" hidden="1" customHeight="1" x14ac:dyDescent="0.25">
      <c r="A231" s="31">
        <v>1198872</v>
      </c>
      <c r="B231" s="38" t="s">
        <v>981</v>
      </c>
      <c r="C231" s="46" t="s">
        <v>1672</v>
      </c>
      <c r="D231" s="46" t="s">
        <v>1673</v>
      </c>
      <c r="E231" s="43" t="s">
        <v>1628</v>
      </c>
      <c r="F231" s="41" t="s">
        <v>1138</v>
      </c>
      <c r="G231" s="41" t="s">
        <v>1402</v>
      </c>
      <c r="H231" s="47" t="s">
        <v>17</v>
      </c>
      <c r="I231" s="46" t="s">
        <v>73</v>
      </c>
      <c r="J231" s="42" t="s">
        <v>103</v>
      </c>
      <c r="K231" s="41" t="s">
        <v>74</v>
      </c>
      <c r="L231" s="46"/>
      <c r="M231" s="46" t="s">
        <v>113</v>
      </c>
      <c r="N231" s="46" t="s">
        <v>23</v>
      </c>
      <c r="O231" s="46" t="s">
        <v>996</v>
      </c>
    </row>
    <row r="232" spans="1:15" ht="57.75" customHeight="1" x14ac:dyDescent="0.25">
      <c r="A232" s="31">
        <v>1198873</v>
      </c>
      <c r="B232" s="38" t="s">
        <v>981</v>
      </c>
      <c r="C232" s="46" t="s">
        <v>1674</v>
      </c>
      <c r="D232" s="46" t="s">
        <v>1675</v>
      </c>
      <c r="E232" s="41" t="s">
        <v>1279</v>
      </c>
      <c r="F232" s="41" t="s">
        <v>1309</v>
      </c>
      <c r="G232" s="41" t="s">
        <v>1310</v>
      </c>
      <c r="H232" s="47" t="s">
        <v>17</v>
      </c>
      <c r="I232" s="46" t="s">
        <v>73</v>
      </c>
      <c r="J232" s="42" t="s">
        <v>103</v>
      </c>
      <c r="K232" s="41" t="s">
        <v>74</v>
      </c>
      <c r="L232" s="46"/>
      <c r="M232" s="46" t="s">
        <v>113</v>
      </c>
      <c r="N232" s="46" t="s">
        <v>23</v>
      </c>
      <c r="O232" s="46" t="s">
        <v>996</v>
      </c>
    </row>
  </sheetData>
  <autoFilter ref="A1:O232" xr:uid="{00000000-0001-0000-0900-000000000000}">
    <filterColumn colId="9">
      <filters>
        <filter val="P0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4"/>
  <sheetViews>
    <sheetView workbookViewId="0">
      <selection sqref="A1:A1048576"/>
    </sheetView>
  </sheetViews>
  <sheetFormatPr defaultRowHeight="14" x14ac:dyDescent="0.25"/>
  <cols>
    <col min="1" max="1" width="22.7265625" style="30" customWidth="1"/>
    <col min="2" max="2" width="22.7265625" style="17" customWidth="1"/>
    <col min="3" max="3" width="34" style="17" customWidth="1"/>
    <col min="4" max="4" width="32.26953125" style="17" customWidth="1"/>
    <col min="5" max="5" width="23.453125" style="17" customWidth="1"/>
    <col min="6" max="6" width="23.6328125" style="17" customWidth="1"/>
    <col min="7" max="7" width="17.36328125" style="17" customWidth="1"/>
  </cols>
  <sheetData>
    <row r="1" spans="1:17" s="67" customFormat="1" ht="14.25" customHeight="1" x14ac:dyDescent="0.3">
      <c r="A1" s="126" t="s">
        <v>57</v>
      </c>
      <c r="B1" s="119" t="s">
        <v>58</v>
      </c>
      <c r="C1" s="63" t="s">
        <v>0</v>
      </c>
      <c r="D1" s="63" t="s">
        <v>1</v>
      </c>
      <c r="E1" s="63" t="s">
        <v>2</v>
      </c>
      <c r="F1" s="63" t="s">
        <v>59</v>
      </c>
      <c r="G1" s="63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5" t="s">
        <v>11</v>
      </c>
      <c r="O1" s="66" t="s">
        <v>66</v>
      </c>
      <c r="P1" s="68"/>
      <c r="Q1" s="68"/>
    </row>
    <row r="2" spans="1:17" ht="40.5" customHeight="1" x14ac:dyDescent="0.25">
      <c r="A2" s="30">
        <v>1198874</v>
      </c>
      <c r="B2" s="10" t="s">
        <v>1676</v>
      </c>
      <c r="C2" s="46" t="s">
        <v>1677</v>
      </c>
      <c r="D2" s="46" t="s">
        <v>1678</v>
      </c>
      <c r="E2" s="43" t="s">
        <v>1679</v>
      </c>
      <c r="F2" s="41" t="s">
        <v>1680</v>
      </c>
      <c r="G2" s="41" t="s">
        <v>1681</v>
      </c>
      <c r="H2" s="46"/>
      <c r="I2" s="46"/>
      <c r="J2" s="46"/>
      <c r="K2" s="41"/>
      <c r="L2" s="44"/>
      <c r="M2" s="46"/>
      <c r="N2" s="46"/>
      <c r="O2" s="45"/>
      <c r="P2" s="81"/>
      <c r="Q2" s="81"/>
    </row>
    <row r="3" spans="1:17" ht="40.5" customHeight="1" x14ac:dyDescent="0.25">
      <c r="A3" s="30">
        <v>1198875</v>
      </c>
      <c r="B3" s="10" t="s">
        <v>1676</v>
      </c>
      <c r="C3" s="46" t="s">
        <v>1682</v>
      </c>
      <c r="D3" s="46" t="s">
        <v>1683</v>
      </c>
      <c r="E3" s="43" t="s">
        <v>1679</v>
      </c>
      <c r="F3" s="41" t="s">
        <v>1684</v>
      </c>
      <c r="G3" s="41" t="s">
        <v>1681</v>
      </c>
      <c r="H3" s="46"/>
      <c r="I3" s="46"/>
      <c r="J3" s="46"/>
      <c r="K3" s="41"/>
      <c r="L3" s="44"/>
      <c r="M3" s="46"/>
      <c r="N3" s="46"/>
      <c r="O3" s="45"/>
      <c r="P3" s="81"/>
      <c r="Q3" s="81"/>
    </row>
    <row r="4" spans="1:17" ht="40.5" customHeight="1" x14ac:dyDescent="0.25">
      <c r="A4" s="30">
        <v>1198876</v>
      </c>
      <c r="B4" s="10" t="s">
        <v>1676</v>
      </c>
      <c r="C4" s="46" t="s">
        <v>1685</v>
      </c>
      <c r="D4" s="46" t="s">
        <v>1686</v>
      </c>
      <c r="E4" s="43" t="s">
        <v>1679</v>
      </c>
      <c r="F4" s="41" t="s">
        <v>1687</v>
      </c>
      <c r="G4" s="41" t="s">
        <v>1681</v>
      </c>
      <c r="H4" s="46"/>
      <c r="I4" s="46"/>
      <c r="J4" s="46"/>
      <c r="K4" s="41"/>
      <c r="L4" s="44"/>
      <c r="M4" s="46"/>
      <c r="N4" s="46"/>
      <c r="O4" s="45"/>
      <c r="P4" s="81"/>
      <c r="Q4" s="81"/>
    </row>
    <row r="5" spans="1:17" ht="40.5" customHeight="1" x14ac:dyDescent="0.25">
      <c r="A5" s="30">
        <v>1198877</v>
      </c>
      <c r="B5" s="10" t="s">
        <v>1676</v>
      </c>
      <c r="C5" s="46" t="s">
        <v>1688</v>
      </c>
      <c r="D5" s="46" t="s">
        <v>1689</v>
      </c>
      <c r="E5" s="43" t="s">
        <v>1679</v>
      </c>
      <c r="F5" s="41" t="s">
        <v>1690</v>
      </c>
      <c r="G5" s="41" t="s">
        <v>1681</v>
      </c>
      <c r="H5" s="46"/>
      <c r="I5" s="46"/>
      <c r="J5" s="46"/>
      <c r="K5" s="41"/>
      <c r="L5" s="44"/>
      <c r="M5" s="46"/>
      <c r="N5" s="46"/>
      <c r="O5" s="45"/>
      <c r="P5" s="81"/>
      <c r="Q5" s="81"/>
    </row>
    <row r="6" spans="1:17" ht="40.5" customHeight="1" x14ac:dyDescent="0.25">
      <c r="A6" s="30">
        <v>1198878</v>
      </c>
      <c r="B6" s="10" t="s">
        <v>1676</v>
      </c>
      <c r="C6" s="46" t="s">
        <v>1691</v>
      </c>
      <c r="D6" s="46" t="s">
        <v>1692</v>
      </c>
      <c r="E6" s="43" t="s">
        <v>1679</v>
      </c>
      <c r="F6" s="41" t="s">
        <v>1693</v>
      </c>
      <c r="G6" s="41" t="s">
        <v>1681</v>
      </c>
      <c r="H6" s="46"/>
      <c r="I6" s="46"/>
      <c r="J6" s="46"/>
      <c r="K6" s="41"/>
      <c r="L6" s="44"/>
      <c r="M6" s="46"/>
      <c r="N6" s="46"/>
      <c r="O6" s="45"/>
      <c r="P6" s="81"/>
      <c r="Q6" s="81"/>
    </row>
    <row r="7" spans="1:17" ht="40.5" customHeight="1" x14ac:dyDescent="0.25">
      <c r="A7" s="30">
        <v>1198879</v>
      </c>
      <c r="B7" s="10" t="s">
        <v>1676</v>
      </c>
      <c r="C7" s="46" t="s">
        <v>1694</v>
      </c>
      <c r="D7" s="46" t="s">
        <v>1695</v>
      </c>
      <c r="E7" s="43" t="s">
        <v>1679</v>
      </c>
      <c r="F7" s="41" t="s">
        <v>1696</v>
      </c>
      <c r="G7" s="41" t="s">
        <v>1681</v>
      </c>
      <c r="H7" s="46"/>
      <c r="I7" s="46"/>
      <c r="J7" s="46"/>
      <c r="K7" s="41"/>
      <c r="L7" s="44"/>
      <c r="M7" s="46"/>
      <c r="N7" s="46"/>
      <c r="O7" s="45"/>
      <c r="P7" s="81"/>
      <c r="Q7" s="81"/>
    </row>
    <row r="8" spans="1:17" ht="40.5" customHeight="1" x14ac:dyDescent="0.25">
      <c r="A8" s="30">
        <v>1198880</v>
      </c>
      <c r="B8" s="10" t="s">
        <v>1676</v>
      </c>
      <c r="C8" s="46" t="s">
        <v>1697</v>
      </c>
      <c r="D8" s="46" t="s">
        <v>1698</v>
      </c>
      <c r="E8" s="43" t="s">
        <v>1679</v>
      </c>
      <c r="F8" s="41" t="s">
        <v>1699</v>
      </c>
      <c r="G8" s="41" t="s">
        <v>1681</v>
      </c>
      <c r="H8" s="46"/>
      <c r="I8" s="46"/>
      <c r="J8" s="46"/>
      <c r="K8" s="41"/>
      <c r="L8" s="44"/>
      <c r="M8" s="46"/>
      <c r="N8" s="46"/>
      <c r="O8" s="45"/>
      <c r="P8" s="81"/>
      <c r="Q8" s="81"/>
    </row>
    <row r="9" spans="1:17" ht="40.5" customHeight="1" x14ac:dyDescent="0.25">
      <c r="A9" s="30">
        <v>1198881</v>
      </c>
      <c r="B9" s="10" t="s">
        <v>1676</v>
      </c>
      <c r="C9" s="46" t="s">
        <v>1700</v>
      </c>
      <c r="D9" s="46" t="s">
        <v>1701</v>
      </c>
      <c r="E9" s="43" t="s">
        <v>1679</v>
      </c>
      <c r="F9" s="41" t="s">
        <v>1702</v>
      </c>
      <c r="G9" s="41" t="s">
        <v>1681</v>
      </c>
      <c r="H9" s="46"/>
      <c r="I9" s="46"/>
      <c r="J9" s="46"/>
      <c r="K9" s="41"/>
      <c r="L9" s="44"/>
      <c r="M9" s="46"/>
      <c r="N9" s="46"/>
      <c r="O9" s="45"/>
      <c r="P9" s="81"/>
      <c r="Q9" s="81"/>
    </row>
    <row r="10" spans="1:17" ht="40.5" customHeight="1" x14ac:dyDescent="0.25">
      <c r="A10" s="30">
        <v>1198882</v>
      </c>
      <c r="B10" s="10" t="s">
        <v>1676</v>
      </c>
      <c r="C10" s="46" t="s">
        <v>1703</v>
      </c>
      <c r="D10" s="46" t="s">
        <v>1704</v>
      </c>
      <c r="E10" s="43" t="s">
        <v>1679</v>
      </c>
      <c r="F10" s="41" t="s">
        <v>1705</v>
      </c>
      <c r="G10" s="41" t="s">
        <v>1681</v>
      </c>
      <c r="H10" s="46"/>
      <c r="I10" s="46"/>
      <c r="J10" s="46"/>
      <c r="K10" s="41"/>
      <c r="L10" s="44"/>
      <c r="M10" s="46"/>
      <c r="N10" s="46"/>
      <c r="O10" s="45"/>
      <c r="P10" s="81"/>
      <c r="Q10" s="81"/>
    </row>
    <row r="11" spans="1:17" ht="40.5" customHeight="1" x14ac:dyDescent="0.25">
      <c r="A11" s="30">
        <v>1198883</v>
      </c>
      <c r="B11" s="10" t="s">
        <v>1676</v>
      </c>
      <c r="C11" s="46" t="s">
        <v>1706</v>
      </c>
      <c r="D11" s="46" t="s">
        <v>1707</v>
      </c>
      <c r="E11" s="43" t="s">
        <v>1679</v>
      </c>
      <c r="F11" s="41" t="s">
        <v>1708</v>
      </c>
      <c r="G11" s="41" t="s">
        <v>1681</v>
      </c>
      <c r="H11" s="46"/>
      <c r="I11" s="46"/>
      <c r="J11" s="46"/>
      <c r="K11" s="41"/>
      <c r="L11" s="44"/>
      <c r="M11" s="46"/>
      <c r="N11" s="46"/>
      <c r="O11" s="45"/>
      <c r="P11" s="81"/>
      <c r="Q11" s="81"/>
    </row>
    <row r="12" spans="1:17" ht="40.5" customHeight="1" x14ac:dyDescent="0.25">
      <c r="A12" s="30">
        <v>1198884</v>
      </c>
      <c r="B12" s="10" t="s">
        <v>1676</v>
      </c>
      <c r="C12" s="46" t="s">
        <v>1709</v>
      </c>
      <c r="D12" s="46" t="s">
        <v>1710</v>
      </c>
      <c r="E12" s="43" t="s">
        <v>1679</v>
      </c>
      <c r="F12" s="41" t="s">
        <v>1711</v>
      </c>
      <c r="G12" s="41" t="s">
        <v>1681</v>
      </c>
      <c r="H12" s="46"/>
      <c r="I12" s="46"/>
      <c r="J12" s="46"/>
      <c r="K12" s="41"/>
      <c r="L12" s="44"/>
      <c r="M12" s="46"/>
      <c r="N12" s="46"/>
      <c r="O12" s="45"/>
      <c r="P12" s="81"/>
      <c r="Q12" s="81"/>
    </row>
    <row r="13" spans="1:17" ht="40.5" customHeight="1" x14ac:dyDescent="0.25">
      <c r="A13" s="30">
        <v>1198885</v>
      </c>
      <c r="B13" s="10" t="s">
        <v>1676</v>
      </c>
      <c r="C13" s="46" t="s">
        <v>1712</v>
      </c>
      <c r="D13" s="46" t="s">
        <v>1713</v>
      </c>
      <c r="E13" s="43" t="s">
        <v>1679</v>
      </c>
      <c r="F13" s="41" t="s">
        <v>1714</v>
      </c>
      <c r="G13" s="41" t="s">
        <v>1681</v>
      </c>
      <c r="H13" s="46"/>
      <c r="I13" s="46"/>
      <c r="J13" s="46"/>
      <c r="K13" s="41"/>
      <c r="L13" s="44"/>
      <c r="M13" s="46"/>
      <c r="N13" s="46"/>
      <c r="O13" s="45"/>
      <c r="P13" s="81"/>
      <c r="Q13" s="81"/>
    </row>
    <row r="14" spans="1:17" ht="40.5" customHeight="1" x14ac:dyDescent="0.25">
      <c r="A14" s="30">
        <v>1198886</v>
      </c>
      <c r="B14" s="10" t="s">
        <v>1676</v>
      </c>
      <c r="C14" s="46" t="s">
        <v>1715</v>
      </c>
      <c r="D14" s="46" t="s">
        <v>1716</v>
      </c>
      <c r="E14" s="43" t="s">
        <v>1679</v>
      </c>
      <c r="F14" s="41" t="s">
        <v>1717</v>
      </c>
      <c r="G14" s="41" t="s">
        <v>1681</v>
      </c>
      <c r="H14" s="46"/>
      <c r="I14" s="46"/>
      <c r="J14" s="46"/>
      <c r="K14" s="41"/>
      <c r="L14" s="44"/>
      <c r="M14" s="46"/>
      <c r="N14" s="46"/>
      <c r="O14" s="45"/>
      <c r="P14" s="81"/>
      <c r="Q14" s="8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8"/>
  <sheetViews>
    <sheetView topLeftCell="E1" workbookViewId="0">
      <selection activeCell="N4" sqref="N4"/>
    </sheetView>
  </sheetViews>
  <sheetFormatPr defaultRowHeight="14" x14ac:dyDescent="0.25"/>
  <cols>
    <col min="1" max="2" width="23.453125" style="30" customWidth="1"/>
    <col min="3" max="3" width="44.90625" style="17" bestFit="1" customWidth="1"/>
    <col min="4" max="4" width="25.453125" style="17" bestFit="1" customWidth="1"/>
    <col min="5" max="5" width="30.7265625" style="17" customWidth="1"/>
    <col min="6" max="6" width="44.36328125" style="17" customWidth="1"/>
    <col min="7" max="7" width="39.90625" style="17" customWidth="1"/>
    <col min="8" max="8" width="12.36328125" style="17" bestFit="1" customWidth="1"/>
    <col min="9" max="9" width="19" style="17" bestFit="1" customWidth="1"/>
    <col min="10" max="10" width="15.7265625" style="17" bestFit="1" customWidth="1"/>
    <col min="11" max="11" width="6.26953125" style="17" bestFit="1" customWidth="1"/>
    <col min="12" max="12" width="22.08984375" style="17" bestFit="1" customWidth="1"/>
    <col min="13" max="13" width="9.7265625" style="17" bestFit="1" customWidth="1"/>
    <col min="14" max="14" width="11.7265625" style="17" bestFit="1" customWidth="1"/>
  </cols>
  <sheetData>
    <row r="1" spans="1:15" s="67" customFormat="1" ht="14.25" customHeight="1" x14ac:dyDescent="0.3">
      <c r="A1" s="127" t="s">
        <v>57</v>
      </c>
      <c r="B1" s="63" t="s">
        <v>58</v>
      </c>
      <c r="C1" s="63" t="s">
        <v>0</v>
      </c>
      <c r="D1" s="63" t="s">
        <v>1</v>
      </c>
      <c r="E1" s="63" t="s">
        <v>2</v>
      </c>
      <c r="F1" s="63" t="s">
        <v>59</v>
      </c>
      <c r="G1" s="63" t="s">
        <v>60</v>
      </c>
      <c r="H1" s="64" t="s">
        <v>61</v>
      </c>
      <c r="I1" s="65" t="s">
        <v>62</v>
      </c>
      <c r="J1" s="65" t="s">
        <v>63</v>
      </c>
      <c r="K1" s="65" t="s">
        <v>8</v>
      </c>
      <c r="L1" s="65" t="s">
        <v>64</v>
      </c>
      <c r="M1" s="65" t="s">
        <v>65</v>
      </c>
      <c r="N1" s="65" t="s">
        <v>11</v>
      </c>
      <c r="O1" s="66" t="s">
        <v>66</v>
      </c>
    </row>
    <row r="2" spans="1:15" s="10" customFormat="1" ht="52" customHeight="1" x14ac:dyDescent="0.25">
      <c r="A2" s="30">
        <v>1198887</v>
      </c>
      <c r="B2" s="29" t="s">
        <v>1718</v>
      </c>
      <c r="C2" s="23" t="s">
        <v>1719</v>
      </c>
      <c r="D2" s="24" t="s">
        <v>1720</v>
      </c>
      <c r="E2" s="25" t="s">
        <v>1721</v>
      </c>
      <c r="F2" s="24" t="s">
        <v>1722</v>
      </c>
      <c r="G2" s="24" t="s">
        <v>1723</v>
      </c>
      <c r="H2" s="23" t="s">
        <v>17</v>
      </c>
      <c r="I2" s="23" t="s">
        <v>73</v>
      </c>
      <c r="J2" s="23" t="s">
        <v>19</v>
      </c>
      <c r="K2" s="24"/>
      <c r="L2" s="24"/>
      <c r="M2" s="23" t="s">
        <v>76</v>
      </c>
      <c r="N2" s="23" t="s">
        <v>77</v>
      </c>
    </row>
    <row r="3" spans="1:15" ht="91" customHeight="1" x14ac:dyDescent="0.25">
      <c r="A3" s="30">
        <v>1198888</v>
      </c>
      <c r="B3" s="29" t="s">
        <v>1718</v>
      </c>
      <c r="C3" s="23" t="s">
        <v>1724</v>
      </c>
      <c r="D3" s="24" t="s">
        <v>1725</v>
      </c>
      <c r="E3" s="25" t="s">
        <v>1726</v>
      </c>
      <c r="F3" s="24" t="s">
        <v>1727</v>
      </c>
      <c r="G3" s="24" t="s">
        <v>1728</v>
      </c>
      <c r="H3" s="23" t="s">
        <v>17</v>
      </c>
      <c r="I3" s="23" t="s">
        <v>73</v>
      </c>
      <c r="J3" s="23" t="s">
        <v>19</v>
      </c>
      <c r="K3" s="32"/>
      <c r="L3" s="32"/>
      <c r="M3" s="23" t="s">
        <v>76</v>
      </c>
      <c r="N3" s="23" t="s">
        <v>77</v>
      </c>
      <c r="O3" s="17"/>
    </row>
    <row r="4" spans="1:15" ht="65.150000000000006" customHeight="1" x14ac:dyDescent="0.25">
      <c r="A4" s="30">
        <v>1198889</v>
      </c>
      <c r="B4" s="29" t="s">
        <v>1718</v>
      </c>
      <c r="C4" s="23" t="s">
        <v>1729</v>
      </c>
      <c r="D4" s="24" t="s">
        <v>1730</v>
      </c>
      <c r="E4" s="25" t="s">
        <v>1731</v>
      </c>
      <c r="F4" s="24" t="s">
        <v>1732</v>
      </c>
      <c r="G4" s="24" t="s">
        <v>1733</v>
      </c>
      <c r="H4" s="23" t="s">
        <v>17</v>
      </c>
      <c r="I4" s="23" t="s">
        <v>73</v>
      </c>
      <c r="J4" s="23" t="s">
        <v>19</v>
      </c>
      <c r="K4" s="32"/>
      <c r="L4" s="32"/>
      <c r="M4" s="23" t="s">
        <v>76</v>
      </c>
      <c r="N4" s="23" t="s">
        <v>77</v>
      </c>
      <c r="O4" s="17"/>
    </row>
    <row r="5" spans="1:15" ht="65.150000000000006" customHeight="1" x14ac:dyDescent="0.25">
      <c r="A5" s="30">
        <v>1198890</v>
      </c>
      <c r="B5" s="29" t="s">
        <v>1718</v>
      </c>
      <c r="C5" s="23" t="s">
        <v>1734</v>
      </c>
      <c r="D5" s="24" t="s">
        <v>1735</v>
      </c>
      <c r="E5" s="25" t="s">
        <v>1731</v>
      </c>
      <c r="F5" s="24" t="s">
        <v>1736</v>
      </c>
      <c r="G5" s="24" t="s">
        <v>1737</v>
      </c>
      <c r="H5" s="23" t="s">
        <v>17</v>
      </c>
      <c r="I5" s="23" t="s">
        <v>73</v>
      </c>
      <c r="J5" s="23" t="s">
        <v>19</v>
      </c>
      <c r="K5" s="32"/>
      <c r="L5" s="32"/>
      <c r="M5" s="23" t="s">
        <v>76</v>
      </c>
      <c r="N5" s="23" t="s">
        <v>77</v>
      </c>
      <c r="O5" s="17"/>
    </row>
    <row r="6" spans="1:15" ht="65.150000000000006" customHeight="1" x14ac:dyDescent="0.25">
      <c r="A6" s="30">
        <v>1198891</v>
      </c>
      <c r="B6" s="29" t="s">
        <v>1718</v>
      </c>
      <c r="C6" s="23" t="s">
        <v>1738</v>
      </c>
      <c r="D6" s="24" t="s">
        <v>1739</v>
      </c>
      <c r="E6" s="25" t="s">
        <v>1731</v>
      </c>
      <c r="F6" s="24" t="s">
        <v>1740</v>
      </c>
      <c r="G6" s="24" t="s">
        <v>1737</v>
      </c>
      <c r="H6" s="23" t="s">
        <v>17</v>
      </c>
      <c r="I6" s="23" t="s">
        <v>73</v>
      </c>
      <c r="J6" s="23" t="s">
        <v>19</v>
      </c>
      <c r="K6" s="32"/>
      <c r="L6" s="32"/>
      <c r="M6" s="23" t="s">
        <v>76</v>
      </c>
      <c r="N6" s="23" t="s">
        <v>77</v>
      </c>
      <c r="O6" s="17"/>
    </row>
    <row r="7" spans="1:15" ht="65.150000000000006" customHeight="1" x14ac:dyDescent="0.25">
      <c r="A7" s="30">
        <v>1198892</v>
      </c>
      <c r="B7" s="29" t="s">
        <v>1718</v>
      </c>
      <c r="C7" s="23" t="s">
        <v>1741</v>
      </c>
      <c r="D7" s="24" t="s">
        <v>1742</v>
      </c>
      <c r="E7" s="25" t="s">
        <v>1731</v>
      </c>
      <c r="F7" s="24" t="s">
        <v>1743</v>
      </c>
      <c r="G7" s="24" t="s">
        <v>1737</v>
      </c>
      <c r="H7" s="23" t="s">
        <v>17</v>
      </c>
      <c r="I7" s="23" t="s">
        <v>73</v>
      </c>
      <c r="J7" s="23" t="s">
        <v>19</v>
      </c>
      <c r="K7" s="32"/>
      <c r="L7" s="32"/>
      <c r="M7" s="23" t="s">
        <v>76</v>
      </c>
      <c r="N7" s="23" t="s">
        <v>77</v>
      </c>
      <c r="O7" s="17"/>
    </row>
    <row r="8" spans="1:15" ht="65.150000000000006" customHeight="1" x14ac:dyDescent="0.25">
      <c r="A8" s="30">
        <v>1198893</v>
      </c>
      <c r="B8" s="29" t="s">
        <v>1718</v>
      </c>
      <c r="C8" s="23" t="s">
        <v>1744</v>
      </c>
      <c r="D8" s="24" t="s">
        <v>1745</v>
      </c>
      <c r="E8" s="25" t="s">
        <v>1731</v>
      </c>
      <c r="F8" s="24" t="s">
        <v>1746</v>
      </c>
      <c r="G8" s="24" t="s">
        <v>1737</v>
      </c>
      <c r="H8" s="23" t="s">
        <v>17</v>
      </c>
      <c r="I8" s="23" t="s">
        <v>73</v>
      </c>
      <c r="J8" s="23" t="s">
        <v>19</v>
      </c>
      <c r="K8" s="32"/>
      <c r="L8" s="32"/>
      <c r="M8" s="23" t="s">
        <v>76</v>
      </c>
      <c r="N8" s="23" t="s">
        <v>77</v>
      </c>
      <c r="O8" s="17"/>
    </row>
    <row r="9" spans="1:15" ht="65.150000000000006" customHeight="1" x14ac:dyDescent="0.25">
      <c r="A9" s="30">
        <v>1198894</v>
      </c>
      <c r="B9" s="29" t="s">
        <v>1718</v>
      </c>
      <c r="C9" s="23" t="s">
        <v>1747</v>
      </c>
      <c r="D9" s="24" t="s">
        <v>1748</v>
      </c>
      <c r="E9" s="25" t="s">
        <v>1721</v>
      </c>
      <c r="F9" s="24" t="s">
        <v>1722</v>
      </c>
      <c r="G9" s="24" t="s">
        <v>1749</v>
      </c>
      <c r="H9" s="23" t="s">
        <v>17</v>
      </c>
      <c r="I9" s="23" t="s">
        <v>73</v>
      </c>
      <c r="J9" s="23" t="s">
        <v>19</v>
      </c>
      <c r="K9" s="32"/>
      <c r="L9" s="32"/>
      <c r="M9" s="23" t="s">
        <v>76</v>
      </c>
      <c r="N9" s="23" t="s">
        <v>77</v>
      </c>
      <c r="O9" s="17"/>
    </row>
    <row r="10" spans="1:15" ht="65.150000000000006" customHeight="1" x14ac:dyDescent="0.25">
      <c r="A10" s="30">
        <v>1198895</v>
      </c>
      <c r="B10" s="29" t="s">
        <v>1718</v>
      </c>
      <c r="C10" s="46" t="s">
        <v>1750</v>
      </c>
      <c r="D10" s="41" t="s">
        <v>1751</v>
      </c>
      <c r="E10" s="41" t="s">
        <v>1752</v>
      </c>
      <c r="F10" s="41" t="s">
        <v>1753</v>
      </c>
      <c r="G10" s="41" t="s">
        <v>1754</v>
      </c>
      <c r="H10" s="47" t="s">
        <v>17</v>
      </c>
      <c r="I10" s="46" t="s">
        <v>73</v>
      </c>
      <c r="J10" s="48" t="s">
        <v>19</v>
      </c>
      <c r="K10" s="41"/>
      <c r="L10" s="41"/>
      <c r="M10" s="46"/>
      <c r="N10" s="46" t="s">
        <v>77</v>
      </c>
      <c r="O10" s="17"/>
    </row>
    <row r="11" spans="1:15" ht="65.150000000000006" customHeight="1" x14ac:dyDescent="0.25">
      <c r="A11" s="30">
        <v>1198896</v>
      </c>
      <c r="B11" s="29" t="s">
        <v>1718</v>
      </c>
      <c r="C11" s="46" t="s">
        <v>1755</v>
      </c>
      <c r="D11" s="41" t="s">
        <v>1751</v>
      </c>
      <c r="E11" s="41" t="s">
        <v>1752</v>
      </c>
      <c r="F11" s="41" t="s">
        <v>1753</v>
      </c>
      <c r="G11" s="41" t="s">
        <v>1756</v>
      </c>
      <c r="H11" s="47" t="s">
        <v>17</v>
      </c>
      <c r="I11" s="46" t="s">
        <v>73</v>
      </c>
      <c r="J11" s="48" t="s">
        <v>19</v>
      </c>
      <c r="K11" s="41"/>
      <c r="L11" s="41"/>
      <c r="M11" s="46"/>
      <c r="N11" s="46" t="s">
        <v>77</v>
      </c>
      <c r="O11" s="17"/>
    </row>
    <row r="12" spans="1:15" ht="65.150000000000006" customHeight="1" x14ac:dyDescent="0.25">
      <c r="A12" s="30">
        <v>1198897</v>
      </c>
      <c r="B12" s="29" t="s">
        <v>1718</v>
      </c>
      <c r="C12" s="46" t="s">
        <v>1757</v>
      </c>
      <c r="D12" s="41" t="s">
        <v>1751</v>
      </c>
      <c r="E12" s="41" t="s">
        <v>1752</v>
      </c>
      <c r="F12" s="41" t="s">
        <v>1753</v>
      </c>
      <c r="G12" s="41" t="s">
        <v>1758</v>
      </c>
      <c r="H12" s="47" t="s">
        <v>17</v>
      </c>
      <c r="I12" s="46" t="s">
        <v>73</v>
      </c>
      <c r="J12" s="48" t="s">
        <v>19</v>
      </c>
      <c r="K12" s="41"/>
      <c r="L12" s="41"/>
      <c r="M12" s="46"/>
      <c r="N12" s="46" t="s">
        <v>77</v>
      </c>
      <c r="O12" s="17"/>
    </row>
    <row r="13" spans="1:15" ht="65.150000000000006" customHeight="1" x14ac:dyDescent="0.25">
      <c r="A13" s="30">
        <v>1198898</v>
      </c>
      <c r="B13" s="29" t="s">
        <v>1718</v>
      </c>
      <c r="C13" s="46" t="s">
        <v>1759</v>
      </c>
      <c r="D13" s="41" t="s">
        <v>1751</v>
      </c>
      <c r="E13" s="41" t="s">
        <v>1752</v>
      </c>
      <c r="F13" s="41" t="s">
        <v>1753</v>
      </c>
      <c r="G13" s="41" t="s">
        <v>1760</v>
      </c>
      <c r="H13" s="47" t="s">
        <v>17</v>
      </c>
      <c r="I13" s="46" t="s">
        <v>73</v>
      </c>
      <c r="J13" s="48" t="s">
        <v>19</v>
      </c>
      <c r="K13" s="41"/>
      <c r="L13" s="41"/>
      <c r="M13" s="46"/>
      <c r="N13" s="46" t="s">
        <v>77</v>
      </c>
      <c r="O13" s="17"/>
    </row>
    <row r="14" spans="1:15" ht="65.150000000000006" customHeight="1" x14ac:dyDescent="0.25">
      <c r="A14" s="30">
        <v>1198899</v>
      </c>
      <c r="B14" s="29" t="s">
        <v>1718</v>
      </c>
      <c r="C14" s="46" t="s">
        <v>1761</v>
      </c>
      <c r="D14" s="41" t="s">
        <v>1751</v>
      </c>
      <c r="E14" s="41" t="s">
        <v>1752</v>
      </c>
      <c r="F14" s="41" t="s">
        <v>1753</v>
      </c>
      <c r="G14" s="41" t="s">
        <v>1762</v>
      </c>
      <c r="H14" s="47" t="s">
        <v>17</v>
      </c>
      <c r="I14" s="46" t="s">
        <v>73</v>
      </c>
      <c r="J14" s="48" t="s">
        <v>19</v>
      </c>
      <c r="K14" s="41"/>
      <c r="L14" s="41"/>
      <c r="M14" s="46"/>
      <c r="N14" s="46" t="s">
        <v>77</v>
      </c>
      <c r="O14" s="17"/>
    </row>
    <row r="15" spans="1:15" ht="65.150000000000006" customHeight="1" x14ac:dyDescent="0.25">
      <c r="A15" s="30">
        <v>1198900</v>
      </c>
      <c r="B15" s="29" t="s">
        <v>1718</v>
      </c>
      <c r="C15" s="46" t="s">
        <v>1763</v>
      </c>
      <c r="D15" s="41" t="s">
        <v>1751</v>
      </c>
      <c r="E15" s="41" t="s">
        <v>1752</v>
      </c>
      <c r="F15" s="41" t="s">
        <v>1753</v>
      </c>
      <c r="G15" s="41" t="s">
        <v>1764</v>
      </c>
      <c r="H15" s="47" t="s">
        <v>17</v>
      </c>
      <c r="I15" s="46" t="s">
        <v>73</v>
      </c>
      <c r="J15" s="48" t="s">
        <v>19</v>
      </c>
      <c r="K15" s="41"/>
      <c r="L15" s="41"/>
      <c r="M15" s="46"/>
      <c r="N15" s="46" t="s">
        <v>77</v>
      </c>
      <c r="O15" s="17"/>
    </row>
    <row r="16" spans="1:15" ht="65.150000000000006" customHeight="1" x14ac:dyDescent="0.25">
      <c r="A16" s="30">
        <v>1198901</v>
      </c>
      <c r="B16" s="29" t="s">
        <v>1718</v>
      </c>
      <c r="C16" s="46" t="s">
        <v>1765</v>
      </c>
      <c r="D16" s="41" t="s">
        <v>1751</v>
      </c>
      <c r="E16" s="41" t="s">
        <v>1752</v>
      </c>
      <c r="F16" s="41" t="s">
        <v>1753</v>
      </c>
      <c r="G16" s="41" t="s">
        <v>1766</v>
      </c>
      <c r="H16" s="47" t="s">
        <v>17</v>
      </c>
      <c r="I16" s="46" t="s">
        <v>73</v>
      </c>
      <c r="J16" s="48" t="s">
        <v>19</v>
      </c>
      <c r="K16" s="41"/>
      <c r="L16" s="41"/>
      <c r="M16" s="46"/>
      <c r="N16" s="46" t="s">
        <v>77</v>
      </c>
      <c r="O16" s="17"/>
    </row>
    <row r="17" spans="1:14" ht="65.150000000000006" customHeight="1" x14ac:dyDescent="0.25">
      <c r="A17" s="30">
        <v>1198902</v>
      </c>
      <c r="B17" s="29" t="s">
        <v>1718</v>
      </c>
      <c r="C17" s="46" t="s">
        <v>1767</v>
      </c>
      <c r="D17" s="41" t="s">
        <v>1751</v>
      </c>
      <c r="E17" s="41" t="s">
        <v>1752</v>
      </c>
      <c r="F17" s="41" t="s">
        <v>1753</v>
      </c>
      <c r="G17" s="41" t="s">
        <v>1768</v>
      </c>
      <c r="H17" s="47" t="s">
        <v>17</v>
      </c>
      <c r="I17" s="46" t="s">
        <v>73</v>
      </c>
      <c r="J17" s="48" t="s">
        <v>19</v>
      </c>
      <c r="K17" s="41"/>
      <c r="L17" s="41"/>
      <c r="M17" s="46"/>
      <c r="N17" s="46" t="s">
        <v>77</v>
      </c>
    </row>
    <row r="18" spans="1:14" ht="65.150000000000006" customHeight="1" x14ac:dyDescent="0.25">
      <c r="A18" s="30">
        <v>1198903</v>
      </c>
      <c r="B18" s="29" t="s">
        <v>1718</v>
      </c>
      <c r="C18" s="46" t="s">
        <v>1769</v>
      </c>
      <c r="D18" s="41" t="s">
        <v>1751</v>
      </c>
      <c r="E18" s="41" t="s">
        <v>1752</v>
      </c>
      <c r="F18" s="41" t="s">
        <v>1753</v>
      </c>
      <c r="G18" s="41" t="s">
        <v>1770</v>
      </c>
      <c r="H18" s="47" t="s">
        <v>17</v>
      </c>
      <c r="I18" s="46" t="s">
        <v>73</v>
      </c>
      <c r="J18" s="48" t="s">
        <v>19</v>
      </c>
      <c r="K18" s="41"/>
      <c r="L18" s="41"/>
      <c r="M18" s="46"/>
      <c r="N18" s="46" t="s">
        <v>77</v>
      </c>
    </row>
    <row r="19" spans="1:14" ht="65.150000000000006" customHeight="1" x14ac:dyDescent="0.25">
      <c r="A19" s="30">
        <v>1198904</v>
      </c>
      <c r="B19" s="29" t="s">
        <v>1718</v>
      </c>
      <c r="C19" s="46" t="s">
        <v>1771</v>
      </c>
      <c r="D19" s="41" t="s">
        <v>1751</v>
      </c>
      <c r="E19" s="41" t="s">
        <v>1752</v>
      </c>
      <c r="F19" s="41" t="s">
        <v>1753</v>
      </c>
      <c r="G19" s="41" t="s">
        <v>1772</v>
      </c>
      <c r="H19" s="47" t="s">
        <v>17</v>
      </c>
      <c r="I19" s="46" t="s">
        <v>73</v>
      </c>
      <c r="J19" s="48" t="s">
        <v>19</v>
      </c>
      <c r="K19" s="41"/>
      <c r="L19" s="41"/>
      <c r="M19" s="46"/>
      <c r="N19" s="46" t="s">
        <v>77</v>
      </c>
    </row>
    <row r="20" spans="1:14" ht="65.150000000000006" customHeight="1" x14ac:dyDescent="0.25">
      <c r="A20" s="30">
        <v>1198905</v>
      </c>
      <c r="B20" s="29" t="s">
        <v>1718</v>
      </c>
      <c r="C20" s="46" t="s">
        <v>1773</v>
      </c>
      <c r="D20" s="41" t="s">
        <v>1751</v>
      </c>
      <c r="E20" s="41" t="s">
        <v>1752</v>
      </c>
      <c r="F20" s="41" t="s">
        <v>1753</v>
      </c>
      <c r="G20" s="41" t="s">
        <v>1774</v>
      </c>
      <c r="H20" s="47" t="s">
        <v>17</v>
      </c>
      <c r="I20" s="46" t="s">
        <v>73</v>
      </c>
      <c r="J20" s="48" t="s">
        <v>19</v>
      </c>
      <c r="K20" s="41"/>
      <c r="L20" s="41"/>
      <c r="M20" s="46"/>
      <c r="N20" s="46" t="s">
        <v>77</v>
      </c>
    </row>
    <row r="21" spans="1:14" ht="65.150000000000006" customHeight="1" x14ac:dyDescent="0.25">
      <c r="A21" s="30">
        <v>1198906</v>
      </c>
      <c r="B21" s="29" t="s">
        <v>1718</v>
      </c>
      <c r="C21" s="46" t="s">
        <v>1775</v>
      </c>
      <c r="D21" s="41" t="s">
        <v>1751</v>
      </c>
      <c r="E21" s="41" t="s">
        <v>1752</v>
      </c>
      <c r="F21" s="41" t="s">
        <v>1753</v>
      </c>
      <c r="G21" s="41" t="s">
        <v>1776</v>
      </c>
      <c r="H21" s="47" t="s">
        <v>17</v>
      </c>
      <c r="I21" s="46" t="s">
        <v>73</v>
      </c>
      <c r="J21" s="48" t="s">
        <v>19</v>
      </c>
      <c r="K21" s="41"/>
      <c r="L21" s="41"/>
      <c r="M21" s="46"/>
      <c r="N21" s="46" t="s">
        <v>77</v>
      </c>
    </row>
    <row r="22" spans="1:14" ht="65.150000000000006" customHeight="1" x14ac:dyDescent="0.25">
      <c r="A22" s="30">
        <v>1198907</v>
      </c>
      <c r="B22" s="29" t="s">
        <v>1718</v>
      </c>
      <c r="C22" s="46" t="s">
        <v>1777</v>
      </c>
      <c r="D22" s="41" t="s">
        <v>1751</v>
      </c>
      <c r="E22" s="41" t="s">
        <v>1752</v>
      </c>
      <c r="F22" s="41" t="s">
        <v>1753</v>
      </c>
      <c r="G22" s="41" t="s">
        <v>1778</v>
      </c>
      <c r="H22" s="47" t="s">
        <v>17</v>
      </c>
      <c r="I22" s="46" t="s">
        <v>73</v>
      </c>
      <c r="J22" s="48" t="s">
        <v>19</v>
      </c>
      <c r="K22" s="41"/>
      <c r="L22" s="41"/>
      <c r="M22" s="46"/>
      <c r="N22" s="46" t="s">
        <v>77</v>
      </c>
    </row>
    <row r="23" spans="1:14" ht="65.150000000000006" customHeight="1" x14ac:dyDescent="0.25">
      <c r="A23" s="30">
        <v>1198908</v>
      </c>
      <c r="B23" s="29" t="s">
        <v>1718</v>
      </c>
      <c r="C23" s="46" t="s">
        <v>1779</v>
      </c>
      <c r="D23" s="41" t="s">
        <v>1751</v>
      </c>
      <c r="E23" s="41" t="s">
        <v>1752</v>
      </c>
      <c r="F23" s="41" t="s">
        <v>1753</v>
      </c>
      <c r="G23" s="41" t="s">
        <v>1780</v>
      </c>
      <c r="H23" s="47" t="s">
        <v>17</v>
      </c>
      <c r="I23" s="46" t="s">
        <v>73</v>
      </c>
      <c r="J23" s="48" t="s">
        <v>19</v>
      </c>
      <c r="K23" s="41"/>
      <c r="L23" s="41"/>
      <c r="M23" s="46"/>
      <c r="N23" s="46" t="s">
        <v>77</v>
      </c>
    </row>
    <row r="24" spans="1:14" ht="65.150000000000006" customHeight="1" x14ac:dyDescent="0.25">
      <c r="A24" s="30">
        <v>1198909</v>
      </c>
      <c r="B24" s="29" t="s">
        <v>1718</v>
      </c>
      <c r="C24" s="46" t="s">
        <v>1781</v>
      </c>
      <c r="D24" s="41" t="s">
        <v>1751</v>
      </c>
      <c r="E24" s="41" t="s">
        <v>1752</v>
      </c>
      <c r="F24" s="41" t="s">
        <v>1753</v>
      </c>
      <c r="G24" s="41" t="s">
        <v>1782</v>
      </c>
      <c r="H24" s="47" t="s">
        <v>17</v>
      </c>
      <c r="I24" s="46" t="s">
        <v>73</v>
      </c>
      <c r="J24" s="48" t="s">
        <v>19</v>
      </c>
      <c r="K24" s="41"/>
      <c r="L24" s="41"/>
      <c r="M24" s="46"/>
      <c r="N24" s="46" t="s">
        <v>77</v>
      </c>
    </row>
    <row r="25" spans="1:14" ht="65.150000000000006" customHeight="1" x14ac:dyDescent="0.25">
      <c r="A25" s="30">
        <v>1198910</v>
      </c>
      <c r="B25" s="29" t="s">
        <v>1718</v>
      </c>
      <c r="C25" s="46" t="s">
        <v>1783</v>
      </c>
      <c r="D25" s="41" t="s">
        <v>1751</v>
      </c>
      <c r="E25" s="41" t="s">
        <v>1752</v>
      </c>
      <c r="F25" s="41" t="s">
        <v>1753</v>
      </c>
      <c r="G25" s="41" t="s">
        <v>1784</v>
      </c>
      <c r="H25" s="47" t="s">
        <v>17</v>
      </c>
      <c r="I25" s="46" t="s">
        <v>73</v>
      </c>
      <c r="J25" s="48" t="s">
        <v>19</v>
      </c>
      <c r="K25" s="41"/>
      <c r="L25" s="41"/>
      <c r="M25" s="46"/>
      <c r="N25" s="46" t="s">
        <v>77</v>
      </c>
    </row>
    <row r="26" spans="1:14" ht="52" customHeight="1" x14ac:dyDescent="0.25">
      <c r="A26" s="30">
        <v>1198911</v>
      </c>
      <c r="B26" s="29" t="s">
        <v>1718</v>
      </c>
      <c r="C26" s="46" t="s">
        <v>1785</v>
      </c>
      <c r="D26" s="41" t="s">
        <v>1751</v>
      </c>
      <c r="E26" s="41" t="s">
        <v>1752</v>
      </c>
      <c r="F26" s="41" t="s">
        <v>1753</v>
      </c>
      <c r="G26" s="41" t="s">
        <v>1786</v>
      </c>
      <c r="H26" s="47" t="s">
        <v>17</v>
      </c>
      <c r="I26" s="46" t="s">
        <v>73</v>
      </c>
      <c r="J26" s="48" t="s">
        <v>19</v>
      </c>
      <c r="K26" s="41"/>
      <c r="L26" s="41"/>
      <c r="M26" s="46"/>
      <c r="N26" s="46" t="s">
        <v>77</v>
      </c>
    </row>
    <row r="27" spans="1:14" ht="52" customHeight="1" x14ac:dyDescent="0.25">
      <c r="A27" s="30">
        <v>1198912</v>
      </c>
      <c r="B27" s="29" t="s">
        <v>1718</v>
      </c>
      <c r="C27" s="46" t="s">
        <v>1787</v>
      </c>
      <c r="D27" s="41" t="s">
        <v>1751</v>
      </c>
      <c r="E27" s="41" t="s">
        <v>1752</v>
      </c>
      <c r="F27" s="41" t="s">
        <v>1753</v>
      </c>
      <c r="G27" s="41" t="s">
        <v>1788</v>
      </c>
      <c r="H27" s="47" t="s">
        <v>17</v>
      </c>
      <c r="I27" s="46" t="s">
        <v>73</v>
      </c>
      <c r="J27" s="48" t="s">
        <v>19</v>
      </c>
      <c r="K27" s="41"/>
      <c r="L27" s="41"/>
      <c r="M27" s="46"/>
      <c r="N27" s="46" t="s">
        <v>77</v>
      </c>
    </row>
    <row r="28" spans="1:14" ht="52" customHeight="1" x14ac:dyDescent="0.25">
      <c r="A28" s="30">
        <v>1198913</v>
      </c>
      <c r="B28" s="29" t="s">
        <v>1718</v>
      </c>
      <c r="C28" s="46" t="s">
        <v>1789</v>
      </c>
      <c r="D28" s="41" t="s">
        <v>1751</v>
      </c>
      <c r="E28" s="41" t="s">
        <v>1752</v>
      </c>
      <c r="F28" s="41" t="s">
        <v>1753</v>
      </c>
      <c r="G28" s="41" t="s">
        <v>1790</v>
      </c>
      <c r="H28" s="47" t="s">
        <v>17</v>
      </c>
      <c r="I28" s="46" t="s">
        <v>73</v>
      </c>
      <c r="J28" s="48" t="s">
        <v>19</v>
      </c>
      <c r="K28" s="41"/>
      <c r="L28" s="41"/>
      <c r="M28" s="46"/>
      <c r="N28" s="46" t="s">
        <v>77</v>
      </c>
    </row>
    <row r="29" spans="1:14" ht="52" customHeight="1" x14ac:dyDescent="0.25">
      <c r="A29" s="30">
        <v>1198914</v>
      </c>
      <c r="B29" s="29" t="s">
        <v>1718</v>
      </c>
      <c r="C29" s="46" t="s">
        <v>1791</v>
      </c>
      <c r="D29" s="41" t="s">
        <v>1751</v>
      </c>
      <c r="E29" s="41" t="s">
        <v>1752</v>
      </c>
      <c r="F29" s="41" t="s">
        <v>1753</v>
      </c>
      <c r="G29" s="41" t="s">
        <v>1792</v>
      </c>
      <c r="H29" s="47" t="s">
        <v>17</v>
      </c>
      <c r="I29" s="46" t="s">
        <v>73</v>
      </c>
      <c r="J29" s="48" t="s">
        <v>19</v>
      </c>
      <c r="K29" s="41"/>
      <c r="L29" s="41"/>
      <c r="M29" s="46"/>
      <c r="N29" s="46" t="s">
        <v>77</v>
      </c>
    </row>
    <row r="30" spans="1:14" ht="52" customHeight="1" x14ac:dyDescent="0.25">
      <c r="A30" s="30">
        <v>1198916</v>
      </c>
      <c r="B30" s="29" t="s">
        <v>1718</v>
      </c>
      <c r="C30" s="46" t="s">
        <v>1793</v>
      </c>
      <c r="D30" s="41" t="s">
        <v>1751</v>
      </c>
      <c r="E30" s="41" t="s">
        <v>1752</v>
      </c>
      <c r="F30" s="41" t="s">
        <v>1753</v>
      </c>
      <c r="G30" s="41" t="s">
        <v>1794</v>
      </c>
      <c r="H30" s="47" t="s">
        <v>17</v>
      </c>
      <c r="I30" s="46" t="s">
        <v>73</v>
      </c>
      <c r="J30" s="48" t="s">
        <v>19</v>
      </c>
      <c r="K30" s="41"/>
      <c r="L30" s="41"/>
      <c r="M30" s="46"/>
      <c r="N30" s="46" t="s">
        <v>77</v>
      </c>
    </row>
    <row r="31" spans="1:14" ht="52" customHeight="1" x14ac:dyDescent="0.25">
      <c r="A31" s="30">
        <v>1198917</v>
      </c>
      <c r="B31" s="29" t="s">
        <v>1718</v>
      </c>
      <c r="C31" s="46" t="s">
        <v>1795</v>
      </c>
      <c r="D31" s="41" t="s">
        <v>1751</v>
      </c>
      <c r="E31" s="41" t="s">
        <v>1752</v>
      </c>
      <c r="F31" s="41" t="s">
        <v>1753</v>
      </c>
      <c r="G31" s="41" t="s">
        <v>1796</v>
      </c>
      <c r="H31" s="47" t="s">
        <v>17</v>
      </c>
      <c r="I31" s="46" t="s">
        <v>73</v>
      </c>
      <c r="J31" s="48" t="s">
        <v>19</v>
      </c>
      <c r="K31" s="41"/>
      <c r="L31" s="41"/>
      <c r="M31" s="46"/>
      <c r="N31" s="46" t="s">
        <v>77</v>
      </c>
    </row>
    <row r="32" spans="1:14" ht="52" customHeight="1" x14ac:dyDescent="0.25">
      <c r="A32" s="30">
        <v>1198918</v>
      </c>
      <c r="B32" s="29" t="s">
        <v>1718</v>
      </c>
      <c r="C32" s="46" t="s">
        <v>1797</v>
      </c>
      <c r="D32" s="41" t="s">
        <v>1751</v>
      </c>
      <c r="E32" s="41" t="s">
        <v>1752</v>
      </c>
      <c r="F32" s="41" t="s">
        <v>1753</v>
      </c>
      <c r="G32" s="41" t="s">
        <v>1798</v>
      </c>
      <c r="H32" s="47" t="s">
        <v>17</v>
      </c>
      <c r="I32" s="46" t="s">
        <v>73</v>
      </c>
      <c r="J32" s="48" t="s">
        <v>19</v>
      </c>
      <c r="K32" s="41"/>
      <c r="L32" s="41"/>
      <c r="M32" s="46"/>
      <c r="N32" s="46" t="s">
        <v>77</v>
      </c>
    </row>
    <row r="33" spans="1:14" ht="52" customHeight="1" x14ac:dyDescent="0.25">
      <c r="A33" s="30">
        <v>1198919</v>
      </c>
      <c r="B33" s="29" t="s">
        <v>1718</v>
      </c>
      <c r="C33" s="46" t="s">
        <v>1799</v>
      </c>
      <c r="D33" s="41" t="s">
        <v>1751</v>
      </c>
      <c r="E33" s="41" t="s">
        <v>1752</v>
      </c>
      <c r="F33" s="41" t="s">
        <v>1753</v>
      </c>
      <c r="G33" s="41" t="s">
        <v>1800</v>
      </c>
      <c r="H33" s="47" t="s">
        <v>17</v>
      </c>
      <c r="I33" s="46" t="s">
        <v>73</v>
      </c>
      <c r="J33" s="48" t="s">
        <v>19</v>
      </c>
      <c r="K33" s="41"/>
      <c r="L33" s="41"/>
      <c r="M33" s="46"/>
      <c r="N33" s="46" t="s">
        <v>77</v>
      </c>
    </row>
    <row r="34" spans="1:14" ht="65.150000000000006" customHeight="1" x14ac:dyDescent="0.25">
      <c r="A34" s="30">
        <v>1198920</v>
      </c>
      <c r="B34" s="29" t="s">
        <v>1718</v>
      </c>
      <c r="C34" s="46" t="s">
        <v>1801</v>
      </c>
      <c r="D34" s="41" t="s">
        <v>1751</v>
      </c>
      <c r="E34" s="41" t="s">
        <v>1752</v>
      </c>
      <c r="F34" s="41" t="s">
        <v>1753</v>
      </c>
      <c r="G34" s="41" t="s">
        <v>1802</v>
      </c>
      <c r="H34" s="47" t="s">
        <v>17</v>
      </c>
      <c r="I34" s="46" t="s">
        <v>73</v>
      </c>
      <c r="J34" s="48" t="s">
        <v>19</v>
      </c>
      <c r="K34" s="41"/>
      <c r="L34" s="41"/>
      <c r="M34" s="46"/>
      <c r="N34" s="46" t="s">
        <v>77</v>
      </c>
    </row>
    <row r="35" spans="1:14" ht="65.150000000000006" customHeight="1" x14ac:dyDescent="0.25">
      <c r="A35" s="30">
        <v>1198921</v>
      </c>
      <c r="B35" s="29" t="s">
        <v>1718</v>
      </c>
      <c r="C35" s="46" t="s">
        <v>1803</v>
      </c>
      <c r="D35" s="41" t="s">
        <v>1751</v>
      </c>
      <c r="E35" s="41" t="s">
        <v>1752</v>
      </c>
      <c r="F35" s="41" t="s">
        <v>1753</v>
      </c>
      <c r="G35" s="41" t="s">
        <v>1804</v>
      </c>
      <c r="H35" s="47" t="s">
        <v>17</v>
      </c>
      <c r="I35" s="46" t="s">
        <v>73</v>
      </c>
      <c r="J35" s="48" t="s">
        <v>19</v>
      </c>
      <c r="K35" s="41"/>
      <c r="L35" s="41"/>
      <c r="M35" s="46"/>
      <c r="N35" s="46" t="s">
        <v>77</v>
      </c>
    </row>
    <row r="36" spans="1:14" ht="65.150000000000006" customHeight="1" x14ac:dyDescent="0.25">
      <c r="A36" s="30">
        <v>1198922</v>
      </c>
      <c r="B36" s="29" t="s">
        <v>1718</v>
      </c>
      <c r="C36" s="46" t="s">
        <v>1805</v>
      </c>
      <c r="D36" s="41" t="s">
        <v>1751</v>
      </c>
      <c r="E36" s="41" t="s">
        <v>1752</v>
      </c>
      <c r="F36" s="41" t="s">
        <v>1753</v>
      </c>
      <c r="G36" s="41" t="s">
        <v>1806</v>
      </c>
      <c r="H36" s="47" t="s">
        <v>17</v>
      </c>
      <c r="I36" s="46" t="s">
        <v>73</v>
      </c>
      <c r="J36" s="48" t="s">
        <v>19</v>
      </c>
      <c r="K36" s="41"/>
      <c r="L36" s="41"/>
      <c r="M36" s="46"/>
      <c r="N36" s="46" t="s">
        <v>77</v>
      </c>
    </row>
    <row r="37" spans="1:14" ht="65.150000000000006" customHeight="1" x14ac:dyDescent="0.25">
      <c r="A37" s="30">
        <v>1198923</v>
      </c>
      <c r="B37" s="29" t="s">
        <v>1718</v>
      </c>
      <c r="C37" s="46" t="s">
        <v>1807</v>
      </c>
      <c r="D37" s="41" t="s">
        <v>1751</v>
      </c>
      <c r="E37" s="41" t="s">
        <v>1752</v>
      </c>
      <c r="F37" s="41" t="s">
        <v>1753</v>
      </c>
      <c r="G37" s="41" t="s">
        <v>1808</v>
      </c>
      <c r="H37" s="47" t="s">
        <v>17</v>
      </c>
      <c r="I37" s="46" t="s">
        <v>73</v>
      </c>
      <c r="J37" s="48" t="s">
        <v>19</v>
      </c>
      <c r="K37" s="41"/>
      <c r="L37" s="41"/>
      <c r="M37" s="46"/>
      <c r="N37" s="46" t="s">
        <v>77</v>
      </c>
    </row>
    <row r="38" spans="1:14" ht="65.150000000000006" customHeight="1" x14ac:dyDescent="0.25">
      <c r="A38" s="30">
        <v>1198924</v>
      </c>
      <c r="B38" s="29" t="s">
        <v>1718</v>
      </c>
      <c r="C38" s="46" t="s">
        <v>1809</v>
      </c>
      <c r="D38" s="41" t="s">
        <v>1751</v>
      </c>
      <c r="E38" s="41" t="s">
        <v>1752</v>
      </c>
      <c r="F38" s="41" t="s">
        <v>1753</v>
      </c>
      <c r="G38" s="41" t="s">
        <v>1810</v>
      </c>
      <c r="H38" s="47" t="s">
        <v>17</v>
      </c>
      <c r="I38" s="46" t="s">
        <v>73</v>
      </c>
      <c r="J38" s="48" t="s">
        <v>19</v>
      </c>
      <c r="K38" s="41"/>
      <c r="L38" s="41"/>
      <c r="M38" s="46"/>
      <c r="N38" s="46" t="s">
        <v>77</v>
      </c>
    </row>
    <row r="39" spans="1:14" ht="65.150000000000006" customHeight="1" x14ac:dyDescent="0.25">
      <c r="A39" s="30">
        <v>1198925</v>
      </c>
      <c r="B39" s="29" t="s">
        <v>1718</v>
      </c>
      <c r="C39" s="46" t="s">
        <v>1811</v>
      </c>
      <c r="D39" s="41" t="s">
        <v>1751</v>
      </c>
      <c r="E39" s="41" t="s">
        <v>1752</v>
      </c>
      <c r="F39" s="41" t="s">
        <v>1753</v>
      </c>
      <c r="G39" s="41" t="s">
        <v>1812</v>
      </c>
      <c r="H39" s="47" t="s">
        <v>17</v>
      </c>
      <c r="I39" s="46" t="s">
        <v>73</v>
      </c>
      <c r="J39" s="48" t="s">
        <v>19</v>
      </c>
      <c r="K39" s="41"/>
      <c r="L39" s="41"/>
      <c r="M39" s="46"/>
      <c r="N39" s="46" t="s">
        <v>77</v>
      </c>
    </row>
    <row r="40" spans="1:14" ht="65.150000000000006" customHeight="1" x14ac:dyDescent="0.25">
      <c r="A40" s="30">
        <v>1198926</v>
      </c>
      <c r="B40" s="29" t="s">
        <v>1718</v>
      </c>
      <c r="C40" s="46" t="s">
        <v>1813</v>
      </c>
      <c r="D40" s="41" t="s">
        <v>1751</v>
      </c>
      <c r="E40" s="41" t="s">
        <v>1752</v>
      </c>
      <c r="F40" s="41" t="s">
        <v>1753</v>
      </c>
      <c r="G40" s="41" t="s">
        <v>1814</v>
      </c>
      <c r="H40" s="47" t="s">
        <v>17</v>
      </c>
      <c r="I40" s="46" t="s">
        <v>73</v>
      </c>
      <c r="J40" s="48" t="s">
        <v>19</v>
      </c>
      <c r="K40" s="41"/>
      <c r="L40" s="41"/>
      <c r="M40" s="46"/>
      <c r="N40" s="46" t="s">
        <v>77</v>
      </c>
    </row>
    <row r="41" spans="1:14" ht="65.150000000000006" customHeight="1" x14ac:dyDescent="0.25">
      <c r="A41" s="30">
        <v>1198927</v>
      </c>
      <c r="B41" s="29" t="s">
        <v>1718</v>
      </c>
      <c r="C41" s="46" t="s">
        <v>1815</v>
      </c>
      <c r="D41" s="41" t="s">
        <v>1751</v>
      </c>
      <c r="E41" s="41" t="s">
        <v>1752</v>
      </c>
      <c r="F41" s="41" t="s">
        <v>1753</v>
      </c>
      <c r="G41" s="41" t="s">
        <v>1816</v>
      </c>
      <c r="H41" s="47" t="s">
        <v>17</v>
      </c>
      <c r="I41" s="46" t="s">
        <v>73</v>
      </c>
      <c r="J41" s="48" t="s">
        <v>19</v>
      </c>
      <c r="K41" s="41"/>
      <c r="L41" s="41"/>
      <c r="M41" s="46"/>
      <c r="N41" s="46" t="s">
        <v>77</v>
      </c>
    </row>
    <row r="42" spans="1:14" ht="52" customHeight="1" x14ac:dyDescent="0.25">
      <c r="A42" s="30">
        <v>1198928</v>
      </c>
      <c r="B42" s="29" t="s">
        <v>1718</v>
      </c>
      <c r="C42" s="46" t="s">
        <v>1817</v>
      </c>
      <c r="D42" s="41" t="s">
        <v>1751</v>
      </c>
      <c r="E42" s="41" t="s">
        <v>1752</v>
      </c>
      <c r="F42" s="41" t="s">
        <v>1753</v>
      </c>
      <c r="G42" s="41" t="s">
        <v>1818</v>
      </c>
      <c r="H42" s="47" t="s">
        <v>17</v>
      </c>
      <c r="I42" s="46" t="s">
        <v>73</v>
      </c>
      <c r="J42" s="48" t="s">
        <v>19</v>
      </c>
      <c r="K42" s="41"/>
      <c r="L42" s="41"/>
      <c r="M42" s="46"/>
      <c r="N42" s="46" t="s">
        <v>77</v>
      </c>
    </row>
    <row r="43" spans="1:14" ht="52" customHeight="1" x14ac:dyDescent="0.25">
      <c r="A43" s="30">
        <v>1198929</v>
      </c>
      <c r="B43" s="29" t="s">
        <v>1718</v>
      </c>
      <c r="C43" s="46" t="s">
        <v>1819</v>
      </c>
      <c r="D43" s="41" t="s">
        <v>1751</v>
      </c>
      <c r="E43" s="41" t="s">
        <v>1752</v>
      </c>
      <c r="F43" s="41" t="s">
        <v>1753</v>
      </c>
      <c r="G43" s="41" t="s">
        <v>1820</v>
      </c>
      <c r="H43" s="47" t="s">
        <v>17</v>
      </c>
      <c r="I43" s="46" t="s">
        <v>73</v>
      </c>
      <c r="J43" s="48" t="s">
        <v>19</v>
      </c>
      <c r="K43" s="41"/>
      <c r="L43" s="41"/>
      <c r="M43" s="46"/>
      <c r="N43" s="46" t="s">
        <v>77</v>
      </c>
    </row>
    <row r="44" spans="1:14" ht="52" customHeight="1" x14ac:dyDescent="0.25">
      <c r="A44" s="30">
        <v>1198930</v>
      </c>
      <c r="B44" s="29" t="s">
        <v>1718</v>
      </c>
      <c r="C44" s="46" t="s">
        <v>1821</v>
      </c>
      <c r="D44" s="41" t="s">
        <v>1751</v>
      </c>
      <c r="E44" s="41" t="s">
        <v>1752</v>
      </c>
      <c r="F44" s="41" t="s">
        <v>1753</v>
      </c>
      <c r="G44" s="41" t="s">
        <v>1822</v>
      </c>
      <c r="H44" s="47" t="s">
        <v>17</v>
      </c>
      <c r="I44" s="46" t="s">
        <v>73</v>
      </c>
      <c r="J44" s="48" t="s">
        <v>19</v>
      </c>
      <c r="K44" s="41"/>
      <c r="L44" s="41"/>
      <c r="M44" s="46"/>
      <c r="N44" s="46" t="s">
        <v>77</v>
      </c>
    </row>
    <row r="45" spans="1:14" ht="52" customHeight="1" x14ac:dyDescent="0.25">
      <c r="A45" s="30">
        <v>1198931</v>
      </c>
      <c r="B45" s="29" t="s">
        <v>1718</v>
      </c>
      <c r="C45" s="46" t="s">
        <v>1823</v>
      </c>
      <c r="D45" s="41" t="s">
        <v>1751</v>
      </c>
      <c r="E45" s="41" t="s">
        <v>1752</v>
      </c>
      <c r="F45" s="41" t="s">
        <v>1753</v>
      </c>
      <c r="G45" s="41" t="s">
        <v>1824</v>
      </c>
      <c r="H45" s="47" t="s">
        <v>17</v>
      </c>
      <c r="I45" s="46" t="s">
        <v>73</v>
      </c>
      <c r="J45" s="48" t="s">
        <v>19</v>
      </c>
      <c r="K45" s="41"/>
      <c r="L45" s="41"/>
      <c r="M45" s="46"/>
      <c r="N45" s="46" t="s">
        <v>77</v>
      </c>
    </row>
    <row r="46" spans="1:14" ht="65.150000000000006" customHeight="1" x14ac:dyDescent="0.25">
      <c r="A46" s="30">
        <v>1198932</v>
      </c>
      <c r="B46" s="29" t="s">
        <v>1718</v>
      </c>
      <c r="C46" s="46" t="s">
        <v>1825</v>
      </c>
      <c r="D46" s="41" t="s">
        <v>1751</v>
      </c>
      <c r="E46" s="41" t="s">
        <v>1752</v>
      </c>
      <c r="F46" s="41" t="s">
        <v>1753</v>
      </c>
      <c r="G46" s="41" t="s">
        <v>1826</v>
      </c>
      <c r="H46" s="47" t="s">
        <v>17</v>
      </c>
      <c r="I46" s="46" t="s">
        <v>73</v>
      </c>
      <c r="J46" s="48" t="s">
        <v>19</v>
      </c>
      <c r="K46" s="41"/>
      <c r="L46" s="41"/>
      <c r="M46" s="46"/>
      <c r="N46" s="46" t="s">
        <v>77</v>
      </c>
    </row>
    <row r="47" spans="1:14" ht="52" customHeight="1" x14ac:dyDescent="0.25">
      <c r="A47" s="30">
        <v>1198933</v>
      </c>
      <c r="B47" s="29" t="s">
        <v>1718</v>
      </c>
      <c r="C47" s="46" t="s">
        <v>1827</v>
      </c>
      <c r="D47" s="41" t="s">
        <v>1751</v>
      </c>
      <c r="E47" s="41" t="s">
        <v>1752</v>
      </c>
      <c r="F47" s="41" t="s">
        <v>1753</v>
      </c>
      <c r="G47" s="41" t="s">
        <v>1828</v>
      </c>
      <c r="H47" s="47" t="s">
        <v>17</v>
      </c>
      <c r="I47" s="46" t="s">
        <v>73</v>
      </c>
      <c r="J47" s="48" t="s">
        <v>19</v>
      </c>
      <c r="K47" s="41"/>
      <c r="L47" s="41"/>
      <c r="M47" s="46"/>
      <c r="N47" s="46" t="s">
        <v>77</v>
      </c>
    </row>
    <row r="48" spans="1:14" ht="52" customHeight="1" x14ac:dyDescent="0.25">
      <c r="A48" s="30">
        <v>1198934</v>
      </c>
      <c r="B48" s="29" t="s">
        <v>1718</v>
      </c>
      <c r="C48" s="46" t="s">
        <v>1829</v>
      </c>
      <c r="D48" s="41" t="s">
        <v>1751</v>
      </c>
      <c r="E48" s="41" t="s">
        <v>1752</v>
      </c>
      <c r="F48" s="41" t="s">
        <v>1753</v>
      </c>
      <c r="G48" s="41" t="s">
        <v>1830</v>
      </c>
      <c r="H48" s="47" t="s">
        <v>17</v>
      </c>
      <c r="I48" s="46" t="s">
        <v>73</v>
      </c>
      <c r="J48" s="48" t="s">
        <v>19</v>
      </c>
      <c r="K48" s="41"/>
      <c r="L48" s="41"/>
      <c r="M48" s="46"/>
      <c r="N48" s="46" t="s">
        <v>77</v>
      </c>
    </row>
    <row r="49" spans="1:14" ht="52" customHeight="1" x14ac:dyDescent="0.25">
      <c r="A49" s="30">
        <v>1198935</v>
      </c>
      <c r="B49" s="29" t="s">
        <v>1718</v>
      </c>
      <c r="C49" s="46" t="s">
        <v>1831</v>
      </c>
      <c r="D49" s="41" t="s">
        <v>1751</v>
      </c>
      <c r="E49" s="41" t="s">
        <v>1752</v>
      </c>
      <c r="F49" s="41" t="s">
        <v>1753</v>
      </c>
      <c r="G49" s="41" t="s">
        <v>1832</v>
      </c>
      <c r="H49" s="47" t="s">
        <v>17</v>
      </c>
      <c r="I49" s="46" t="s">
        <v>73</v>
      </c>
      <c r="J49" s="48" t="s">
        <v>19</v>
      </c>
      <c r="K49" s="41"/>
      <c r="L49" s="41"/>
      <c r="M49" s="46"/>
      <c r="N49" s="46" t="s">
        <v>77</v>
      </c>
    </row>
    <row r="50" spans="1:14" ht="65.150000000000006" customHeight="1" x14ac:dyDescent="0.25">
      <c r="A50" s="30">
        <v>1198936</v>
      </c>
      <c r="B50" s="29" t="s">
        <v>1718</v>
      </c>
      <c r="C50" s="46" t="s">
        <v>1833</v>
      </c>
      <c r="D50" s="41" t="s">
        <v>1751</v>
      </c>
      <c r="E50" s="41" t="s">
        <v>1752</v>
      </c>
      <c r="F50" s="41" t="s">
        <v>1753</v>
      </c>
      <c r="G50" s="41" t="s">
        <v>1834</v>
      </c>
      <c r="H50" s="47" t="s">
        <v>17</v>
      </c>
      <c r="I50" s="46" t="s">
        <v>73</v>
      </c>
      <c r="J50" s="48" t="s">
        <v>19</v>
      </c>
      <c r="K50" s="41"/>
      <c r="L50" s="41"/>
      <c r="M50" s="46"/>
      <c r="N50" s="46" t="s">
        <v>77</v>
      </c>
    </row>
    <row r="51" spans="1:14" ht="65.150000000000006" customHeight="1" x14ac:dyDescent="0.25">
      <c r="A51" s="30">
        <v>1198968</v>
      </c>
      <c r="B51" s="29" t="s">
        <v>1718</v>
      </c>
      <c r="C51" s="46" t="s">
        <v>1835</v>
      </c>
      <c r="D51" s="41" t="s">
        <v>1751</v>
      </c>
      <c r="E51" s="41" t="s">
        <v>1752</v>
      </c>
      <c r="F51" s="41" t="s">
        <v>1753</v>
      </c>
      <c r="G51" s="41" t="s">
        <v>1836</v>
      </c>
      <c r="H51" s="47" t="s">
        <v>17</v>
      </c>
      <c r="I51" s="46" t="s">
        <v>73</v>
      </c>
      <c r="J51" s="48" t="s">
        <v>19</v>
      </c>
      <c r="K51" s="41"/>
      <c r="L51" s="41"/>
      <c r="M51" s="46"/>
      <c r="N51" s="46" t="s">
        <v>77</v>
      </c>
    </row>
    <row r="52" spans="1:14" ht="65.150000000000006" customHeight="1" x14ac:dyDescent="0.25">
      <c r="A52" s="30">
        <v>1198969</v>
      </c>
      <c r="B52" s="29" t="s">
        <v>1718</v>
      </c>
      <c r="C52" s="46" t="s">
        <v>1837</v>
      </c>
      <c r="D52" s="41" t="s">
        <v>1751</v>
      </c>
      <c r="E52" s="41" t="s">
        <v>1752</v>
      </c>
      <c r="F52" s="41" t="s">
        <v>1753</v>
      </c>
      <c r="G52" s="41" t="s">
        <v>1838</v>
      </c>
      <c r="H52" s="47" t="s">
        <v>17</v>
      </c>
      <c r="I52" s="46" t="s">
        <v>73</v>
      </c>
      <c r="J52" s="48" t="s">
        <v>19</v>
      </c>
      <c r="K52" s="41"/>
      <c r="L52" s="41"/>
      <c r="M52" s="46"/>
      <c r="N52" s="46" t="s">
        <v>77</v>
      </c>
    </row>
    <row r="53" spans="1:14" ht="65.150000000000006" customHeight="1" x14ac:dyDescent="0.25">
      <c r="A53" s="30">
        <v>1198970</v>
      </c>
      <c r="B53" s="29" t="s">
        <v>1718</v>
      </c>
      <c r="C53" s="46" t="s">
        <v>1839</v>
      </c>
      <c r="D53" s="41" t="s">
        <v>1751</v>
      </c>
      <c r="E53" s="41" t="s">
        <v>1752</v>
      </c>
      <c r="F53" s="41" t="s">
        <v>1753</v>
      </c>
      <c r="G53" s="41" t="s">
        <v>1840</v>
      </c>
      <c r="H53" s="47" t="s">
        <v>17</v>
      </c>
      <c r="I53" s="46" t="s">
        <v>73</v>
      </c>
      <c r="J53" s="48" t="s">
        <v>19</v>
      </c>
      <c r="K53" s="41"/>
      <c r="L53" s="41"/>
      <c r="M53" s="46"/>
      <c r="N53" s="46" t="s">
        <v>77</v>
      </c>
    </row>
    <row r="54" spans="1:14" ht="65.150000000000006" customHeight="1" x14ac:dyDescent="0.25">
      <c r="A54" s="30">
        <v>1198971</v>
      </c>
      <c r="B54" s="29" t="s">
        <v>1718</v>
      </c>
      <c r="C54" s="46" t="s">
        <v>1841</v>
      </c>
      <c r="D54" s="41" t="s">
        <v>1751</v>
      </c>
      <c r="E54" s="41" t="s">
        <v>1752</v>
      </c>
      <c r="F54" s="41" t="s">
        <v>1753</v>
      </c>
      <c r="G54" s="41" t="s">
        <v>1842</v>
      </c>
      <c r="H54" s="47" t="s">
        <v>17</v>
      </c>
      <c r="I54" s="46" t="s">
        <v>73</v>
      </c>
      <c r="J54" s="48" t="s">
        <v>19</v>
      </c>
      <c r="K54" s="41"/>
      <c r="L54" s="41"/>
      <c r="M54" s="46"/>
      <c r="N54" s="46" t="s">
        <v>77</v>
      </c>
    </row>
    <row r="55" spans="1:14" ht="65.150000000000006" customHeight="1" x14ac:dyDescent="0.25">
      <c r="A55" s="30">
        <v>1198972</v>
      </c>
      <c r="B55" s="29" t="s">
        <v>1718</v>
      </c>
      <c r="C55" s="46" t="s">
        <v>1843</v>
      </c>
      <c r="D55" s="41" t="s">
        <v>1751</v>
      </c>
      <c r="E55" s="41" t="s">
        <v>1752</v>
      </c>
      <c r="F55" s="41" t="s">
        <v>1753</v>
      </c>
      <c r="G55" s="41" t="s">
        <v>1844</v>
      </c>
      <c r="H55" s="47" t="s">
        <v>17</v>
      </c>
      <c r="I55" s="46" t="s">
        <v>73</v>
      </c>
      <c r="J55" s="48" t="s">
        <v>19</v>
      </c>
      <c r="K55" s="41"/>
      <c r="L55" s="41"/>
      <c r="M55" s="46"/>
      <c r="N55" s="46" t="s">
        <v>77</v>
      </c>
    </row>
    <row r="56" spans="1:14" ht="65.150000000000006" customHeight="1" x14ac:dyDescent="0.25">
      <c r="A56" s="30">
        <v>1198973</v>
      </c>
      <c r="B56" s="29" t="s">
        <v>1718</v>
      </c>
      <c r="C56" s="46" t="s">
        <v>1845</v>
      </c>
      <c r="D56" s="41" t="s">
        <v>1751</v>
      </c>
      <c r="E56" s="41" t="s">
        <v>1752</v>
      </c>
      <c r="F56" s="41" t="s">
        <v>1753</v>
      </c>
      <c r="G56" s="41" t="s">
        <v>1846</v>
      </c>
      <c r="H56" s="47" t="s">
        <v>17</v>
      </c>
      <c r="I56" s="46" t="s">
        <v>73</v>
      </c>
      <c r="J56" s="48" t="s">
        <v>19</v>
      </c>
      <c r="K56" s="41"/>
      <c r="L56" s="41"/>
      <c r="M56" s="46"/>
      <c r="N56" s="46" t="s">
        <v>77</v>
      </c>
    </row>
    <row r="57" spans="1:14" ht="65.150000000000006" customHeight="1" x14ac:dyDescent="0.25">
      <c r="A57" s="30">
        <v>1198974</v>
      </c>
      <c r="B57" s="29" t="s">
        <v>1718</v>
      </c>
      <c r="C57" s="46" t="s">
        <v>1847</v>
      </c>
      <c r="D57" s="41" t="s">
        <v>1751</v>
      </c>
      <c r="E57" s="41" t="s">
        <v>1752</v>
      </c>
      <c r="F57" s="41" t="s">
        <v>1753</v>
      </c>
      <c r="G57" s="41" t="s">
        <v>1848</v>
      </c>
      <c r="H57" s="47" t="s">
        <v>17</v>
      </c>
      <c r="I57" s="46" t="s">
        <v>73</v>
      </c>
      <c r="J57" s="48" t="s">
        <v>19</v>
      </c>
      <c r="K57" s="41"/>
      <c r="L57" s="41"/>
      <c r="M57" s="46"/>
      <c r="N57" s="46" t="s">
        <v>77</v>
      </c>
    </row>
    <row r="58" spans="1:14" ht="65.150000000000006" customHeight="1" x14ac:dyDescent="0.25">
      <c r="A58" s="30">
        <v>1198975</v>
      </c>
      <c r="B58" s="29" t="s">
        <v>1718</v>
      </c>
      <c r="C58" s="46" t="s">
        <v>1849</v>
      </c>
      <c r="D58" s="41" t="s">
        <v>1751</v>
      </c>
      <c r="E58" s="41" t="s">
        <v>1752</v>
      </c>
      <c r="F58" s="41" t="s">
        <v>1753</v>
      </c>
      <c r="G58" s="41" t="s">
        <v>1850</v>
      </c>
      <c r="H58" s="47" t="s">
        <v>17</v>
      </c>
      <c r="I58" s="46" t="s">
        <v>73</v>
      </c>
      <c r="J58" s="48" t="s">
        <v>19</v>
      </c>
      <c r="K58" s="41"/>
      <c r="L58" s="41"/>
      <c r="M58" s="46"/>
      <c r="N58" s="46" t="s">
        <v>77</v>
      </c>
    </row>
    <row r="59" spans="1:14" ht="65.150000000000006" customHeight="1" x14ac:dyDescent="0.25">
      <c r="A59" s="30">
        <v>1198976</v>
      </c>
      <c r="B59" s="29" t="s">
        <v>1718</v>
      </c>
      <c r="C59" s="46" t="s">
        <v>1851</v>
      </c>
      <c r="D59" s="41" t="s">
        <v>1751</v>
      </c>
      <c r="E59" s="41" t="s">
        <v>1752</v>
      </c>
      <c r="F59" s="41" t="s">
        <v>1753</v>
      </c>
      <c r="G59" s="41" t="s">
        <v>1852</v>
      </c>
      <c r="H59" s="47" t="s">
        <v>17</v>
      </c>
      <c r="I59" s="46" t="s">
        <v>73</v>
      </c>
      <c r="J59" s="48" t="s">
        <v>19</v>
      </c>
      <c r="K59" s="41"/>
      <c r="L59" s="41"/>
      <c r="M59" s="46"/>
      <c r="N59" s="46" t="s">
        <v>77</v>
      </c>
    </row>
    <row r="60" spans="1:14" ht="65.150000000000006" customHeight="1" x14ac:dyDescent="0.25">
      <c r="A60" s="30">
        <v>1198977</v>
      </c>
      <c r="B60" s="29" t="s">
        <v>1718</v>
      </c>
      <c r="C60" s="46" t="s">
        <v>1853</v>
      </c>
      <c r="D60" s="41" t="s">
        <v>1751</v>
      </c>
      <c r="E60" s="41" t="s">
        <v>1752</v>
      </c>
      <c r="F60" s="41" t="s">
        <v>1753</v>
      </c>
      <c r="G60" s="41" t="s">
        <v>1854</v>
      </c>
      <c r="H60" s="47" t="s">
        <v>17</v>
      </c>
      <c r="I60" s="46" t="s">
        <v>73</v>
      </c>
      <c r="J60" s="48" t="s">
        <v>19</v>
      </c>
      <c r="K60" s="41"/>
      <c r="L60" s="41"/>
      <c r="M60" s="46"/>
      <c r="N60" s="46" t="s">
        <v>77</v>
      </c>
    </row>
    <row r="61" spans="1:14" ht="65.150000000000006" customHeight="1" x14ac:dyDescent="0.25">
      <c r="A61" s="30">
        <v>1198978</v>
      </c>
      <c r="B61" s="29" t="s">
        <v>1718</v>
      </c>
      <c r="C61" s="46" t="s">
        <v>1855</v>
      </c>
      <c r="D61" s="41" t="s">
        <v>1751</v>
      </c>
      <c r="E61" s="41" t="s">
        <v>1752</v>
      </c>
      <c r="F61" s="41" t="s">
        <v>1753</v>
      </c>
      <c r="G61" s="41" t="s">
        <v>1856</v>
      </c>
      <c r="H61" s="47" t="s">
        <v>17</v>
      </c>
      <c r="I61" s="46" t="s">
        <v>73</v>
      </c>
      <c r="J61" s="48" t="s">
        <v>19</v>
      </c>
      <c r="K61" s="41"/>
      <c r="L61" s="41"/>
      <c r="M61" s="46"/>
      <c r="N61" s="46" t="s">
        <v>77</v>
      </c>
    </row>
    <row r="62" spans="1:14" ht="65.150000000000006" customHeight="1" x14ac:dyDescent="0.25">
      <c r="A62" s="30">
        <v>1198979</v>
      </c>
      <c r="B62" s="29" t="s">
        <v>1718</v>
      </c>
      <c r="C62" s="46" t="s">
        <v>1857</v>
      </c>
      <c r="D62" s="41" t="s">
        <v>1751</v>
      </c>
      <c r="E62" s="41" t="s">
        <v>1752</v>
      </c>
      <c r="F62" s="41" t="s">
        <v>1753</v>
      </c>
      <c r="G62" s="41" t="s">
        <v>1858</v>
      </c>
      <c r="H62" s="47" t="s">
        <v>17</v>
      </c>
      <c r="I62" s="46" t="s">
        <v>73</v>
      </c>
      <c r="J62" s="48" t="s">
        <v>19</v>
      </c>
      <c r="K62" s="41"/>
      <c r="L62" s="41"/>
      <c r="M62" s="46"/>
      <c r="N62" s="46" t="s">
        <v>77</v>
      </c>
    </row>
    <row r="63" spans="1:14" ht="65.150000000000006" customHeight="1" x14ac:dyDescent="0.25">
      <c r="A63" s="30">
        <v>1198980</v>
      </c>
      <c r="B63" s="29" t="s">
        <v>1718</v>
      </c>
      <c r="C63" s="46" t="s">
        <v>1859</v>
      </c>
      <c r="D63" s="41" t="s">
        <v>1751</v>
      </c>
      <c r="E63" s="41" t="s">
        <v>1752</v>
      </c>
      <c r="F63" s="41" t="s">
        <v>1753</v>
      </c>
      <c r="G63" s="41" t="s">
        <v>1860</v>
      </c>
      <c r="H63" s="47" t="s">
        <v>17</v>
      </c>
      <c r="I63" s="46" t="s">
        <v>73</v>
      </c>
      <c r="J63" s="48" t="s">
        <v>19</v>
      </c>
      <c r="K63" s="41"/>
      <c r="L63" s="41"/>
      <c r="M63" s="46"/>
      <c r="N63" s="46" t="s">
        <v>77</v>
      </c>
    </row>
    <row r="64" spans="1:14" ht="65.150000000000006" customHeight="1" x14ac:dyDescent="0.25">
      <c r="A64" s="30">
        <v>1198981</v>
      </c>
      <c r="B64" s="29" t="s">
        <v>1718</v>
      </c>
      <c r="C64" s="46" t="s">
        <v>1861</v>
      </c>
      <c r="D64" s="41" t="s">
        <v>1751</v>
      </c>
      <c r="E64" s="41" t="s">
        <v>1752</v>
      </c>
      <c r="F64" s="41" t="s">
        <v>1753</v>
      </c>
      <c r="G64" s="41" t="s">
        <v>1862</v>
      </c>
      <c r="H64" s="47" t="s">
        <v>17</v>
      </c>
      <c r="I64" s="46" t="s">
        <v>73</v>
      </c>
      <c r="J64" s="48" t="s">
        <v>19</v>
      </c>
      <c r="K64" s="41"/>
      <c r="L64" s="41"/>
      <c r="M64" s="46"/>
      <c r="N64" s="46" t="s">
        <v>77</v>
      </c>
    </row>
    <row r="65" spans="1:14" ht="65.150000000000006" customHeight="1" x14ac:dyDescent="0.25">
      <c r="A65" s="30">
        <v>1198982</v>
      </c>
      <c r="B65" s="29" t="s">
        <v>1718</v>
      </c>
      <c r="C65" s="46" t="s">
        <v>1863</v>
      </c>
      <c r="D65" s="41" t="s">
        <v>1751</v>
      </c>
      <c r="E65" s="41" t="s">
        <v>1752</v>
      </c>
      <c r="F65" s="41" t="s">
        <v>1753</v>
      </c>
      <c r="G65" s="41" t="s">
        <v>1864</v>
      </c>
      <c r="H65" s="47" t="s">
        <v>17</v>
      </c>
      <c r="I65" s="46" t="s">
        <v>73</v>
      </c>
      <c r="J65" s="48" t="s">
        <v>19</v>
      </c>
      <c r="K65" s="41"/>
      <c r="L65" s="41"/>
      <c r="M65" s="46"/>
      <c r="N65" s="46" t="s">
        <v>77</v>
      </c>
    </row>
    <row r="66" spans="1:14" ht="52" customHeight="1" x14ac:dyDescent="0.25">
      <c r="A66" s="30">
        <v>1198983</v>
      </c>
      <c r="B66" s="29" t="s">
        <v>1718</v>
      </c>
      <c r="C66" s="46" t="s">
        <v>1865</v>
      </c>
      <c r="D66" s="41" t="s">
        <v>1751</v>
      </c>
      <c r="E66" s="41" t="s">
        <v>1752</v>
      </c>
      <c r="F66" s="41" t="s">
        <v>1753</v>
      </c>
      <c r="G66" s="41" t="s">
        <v>1866</v>
      </c>
      <c r="H66" s="47" t="s">
        <v>17</v>
      </c>
      <c r="I66" s="46" t="s">
        <v>73</v>
      </c>
      <c r="J66" s="48" t="s">
        <v>19</v>
      </c>
      <c r="K66" s="41"/>
      <c r="L66" s="41"/>
      <c r="M66" s="46"/>
      <c r="N66" s="46" t="s">
        <v>77</v>
      </c>
    </row>
    <row r="67" spans="1:14" ht="52" customHeight="1" x14ac:dyDescent="0.25">
      <c r="A67" s="30">
        <v>1198984</v>
      </c>
      <c r="B67" s="29" t="s">
        <v>1718</v>
      </c>
      <c r="C67" s="46" t="s">
        <v>1867</v>
      </c>
      <c r="D67" s="41" t="s">
        <v>1751</v>
      </c>
      <c r="E67" s="41" t="s">
        <v>1752</v>
      </c>
      <c r="F67" s="41" t="s">
        <v>1753</v>
      </c>
      <c r="G67" s="41" t="s">
        <v>1868</v>
      </c>
      <c r="H67" s="47" t="s">
        <v>17</v>
      </c>
      <c r="I67" s="46" t="s">
        <v>73</v>
      </c>
      <c r="J67" s="48" t="s">
        <v>19</v>
      </c>
      <c r="K67" s="41"/>
      <c r="L67" s="41"/>
      <c r="M67" s="46"/>
      <c r="N67" s="46" t="s">
        <v>77</v>
      </c>
    </row>
    <row r="68" spans="1:14" ht="52" customHeight="1" x14ac:dyDescent="0.25">
      <c r="A68" s="30">
        <v>1198985</v>
      </c>
      <c r="B68" s="29" t="s">
        <v>1718</v>
      </c>
      <c r="C68" s="46" t="s">
        <v>1869</v>
      </c>
      <c r="D68" s="41" t="s">
        <v>1751</v>
      </c>
      <c r="E68" s="41" t="s">
        <v>1752</v>
      </c>
      <c r="F68" s="41" t="s">
        <v>1753</v>
      </c>
      <c r="G68" s="41" t="s">
        <v>1870</v>
      </c>
      <c r="H68" s="47" t="s">
        <v>17</v>
      </c>
      <c r="I68" s="46" t="s">
        <v>73</v>
      </c>
      <c r="J68" s="48" t="s">
        <v>19</v>
      </c>
      <c r="K68" s="41"/>
      <c r="L68" s="41"/>
      <c r="M68" s="46"/>
      <c r="N68" s="46" t="s">
        <v>77</v>
      </c>
    </row>
    <row r="69" spans="1:14" ht="52" customHeight="1" x14ac:dyDescent="0.25">
      <c r="A69" s="30">
        <v>1198986</v>
      </c>
      <c r="B69" s="29" t="s">
        <v>1718</v>
      </c>
      <c r="C69" s="46" t="s">
        <v>1871</v>
      </c>
      <c r="D69" s="41" t="s">
        <v>1751</v>
      </c>
      <c r="E69" s="41" t="s">
        <v>1752</v>
      </c>
      <c r="F69" s="41" t="s">
        <v>1753</v>
      </c>
      <c r="G69" s="41" t="s">
        <v>1872</v>
      </c>
      <c r="H69" s="47" t="s">
        <v>17</v>
      </c>
      <c r="I69" s="46" t="s">
        <v>73</v>
      </c>
      <c r="J69" s="48" t="s">
        <v>19</v>
      </c>
      <c r="K69" s="41"/>
      <c r="L69" s="41"/>
      <c r="M69" s="46"/>
      <c r="N69" s="46" t="s">
        <v>77</v>
      </c>
    </row>
    <row r="70" spans="1:14" ht="52" customHeight="1" x14ac:dyDescent="0.25">
      <c r="A70" s="30">
        <v>1198987</v>
      </c>
      <c r="B70" s="29" t="s">
        <v>1718</v>
      </c>
      <c r="C70" s="46" t="s">
        <v>1873</v>
      </c>
      <c r="D70" s="41" t="s">
        <v>1751</v>
      </c>
      <c r="E70" s="41" t="s">
        <v>1752</v>
      </c>
      <c r="F70" s="41" t="s">
        <v>1753</v>
      </c>
      <c r="G70" s="41" t="s">
        <v>1874</v>
      </c>
      <c r="H70" s="47" t="s">
        <v>17</v>
      </c>
      <c r="I70" s="46" t="s">
        <v>73</v>
      </c>
      <c r="J70" s="48" t="s">
        <v>19</v>
      </c>
      <c r="K70" s="41"/>
      <c r="L70" s="41"/>
      <c r="M70" s="46"/>
      <c r="N70" s="46" t="s">
        <v>77</v>
      </c>
    </row>
    <row r="71" spans="1:14" ht="52" customHeight="1" x14ac:dyDescent="0.25">
      <c r="A71" s="30">
        <v>1198988</v>
      </c>
      <c r="B71" s="29" t="s">
        <v>1718</v>
      </c>
      <c r="C71" s="46" t="s">
        <v>1875</v>
      </c>
      <c r="D71" s="41" t="s">
        <v>1751</v>
      </c>
      <c r="E71" s="41" t="s">
        <v>1752</v>
      </c>
      <c r="F71" s="41" t="s">
        <v>1753</v>
      </c>
      <c r="G71" s="41" t="s">
        <v>1876</v>
      </c>
      <c r="H71" s="47" t="s">
        <v>17</v>
      </c>
      <c r="I71" s="46" t="s">
        <v>73</v>
      </c>
      <c r="J71" s="48" t="s">
        <v>19</v>
      </c>
      <c r="K71" s="41"/>
      <c r="L71" s="41"/>
      <c r="M71" s="46"/>
      <c r="N71" s="46" t="s">
        <v>77</v>
      </c>
    </row>
    <row r="72" spans="1:14" ht="52" customHeight="1" x14ac:dyDescent="0.25">
      <c r="A72" s="30">
        <v>1198989</v>
      </c>
      <c r="B72" s="29" t="s">
        <v>1718</v>
      </c>
      <c r="C72" s="46" t="s">
        <v>1877</v>
      </c>
      <c r="D72" s="41" t="s">
        <v>1751</v>
      </c>
      <c r="E72" s="41" t="s">
        <v>1752</v>
      </c>
      <c r="F72" s="41" t="s">
        <v>1753</v>
      </c>
      <c r="G72" s="41" t="s">
        <v>1878</v>
      </c>
      <c r="H72" s="47" t="s">
        <v>17</v>
      </c>
      <c r="I72" s="46" t="s">
        <v>73</v>
      </c>
      <c r="J72" s="48" t="s">
        <v>19</v>
      </c>
      <c r="K72" s="41"/>
      <c r="L72" s="41"/>
      <c r="M72" s="46"/>
      <c r="N72" s="46" t="s">
        <v>77</v>
      </c>
    </row>
    <row r="73" spans="1:14" ht="52" customHeight="1" x14ac:dyDescent="0.25">
      <c r="A73" s="30">
        <v>1198990</v>
      </c>
      <c r="B73" s="29" t="s">
        <v>1718</v>
      </c>
      <c r="C73" s="46" t="s">
        <v>1879</v>
      </c>
      <c r="D73" s="41" t="s">
        <v>1751</v>
      </c>
      <c r="E73" s="41" t="s">
        <v>1752</v>
      </c>
      <c r="F73" s="41" t="s">
        <v>1753</v>
      </c>
      <c r="G73" s="41" t="s">
        <v>1880</v>
      </c>
      <c r="H73" s="47" t="s">
        <v>17</v>
      </c>
      <c r="I73" s="46" t="s">
        <v>73</v>
      </c>
      <c r="J73" s="48" t="s">
        <v>19</v>
      </c>
      <c r="K73" s="41"/>
      <c r="L73" s="41"/>
      <c r="M73" s="46"/>
      <c r="N73" s="46" t="s">
        <v>77</v>
      </c>
    </row>
    <row r="74" spans="1:14" ht="65.150000000000006" customHeight="1" x14ac:dyDescent="0.25">
      <c r="A74" s="30">
        <v>1198991</v>
      </c>
      <c r="B74" s="29" t="s">
        <v>1718</v>
      </c>
      <c r="C74" s="46" t="s">
        <v>1881</v>
      </c>
      <c r="D74" s="41" t="s">
        <v>1751</v>
      </c>
      <c r="E74" s="41" t="s">
        <v>1752</v>
      </c>
      <c r="F74" s="41" t="s">
        <v>1753</v>
      </c>
      <c r="G74" s="41" t="s">
        <v>1882</v>
      </c>
      <c r="H74" s="47" t="s">
        <v>17</v>
      </c>
      <c r="I74" s="46" t="s">
        <v>73</v>
      </c>
      <c r="J74" s="48" t="s">
        <v>19</v>
      </c>
      <c r="K74" s="41"/>
      <c r="L74" s="41"/>
      <c r="M74" s="46"/>
      <c r="N74" s="46" t="s">
        <v>77</v>
      </c>
    </row>
    <row r="75" spans="1:14" ht="65.150000000000006" customHeight="1" x14ac:dyDescent="0.25">
      <c r="A75" s="30">
        <v>1198992</v>
      </c>
      <c r="B75" s="29" t="s">
        <v>1718</v>
      </c>
      <c r="C75" s="46" t="s">
        <v>1883</v>
      </c>
      <c r="D75" s="41" t="s">
        <v>1751</v>
      </c>
      <c r="E75" s="41" t="s">
        <v>1752</v>
      </c>
      <c r="F75" s="41" t="s">
        <v>1753</v>
      </c>
      <c r="G75" s="41" t="s">
        <v>1884</v>
      </c>
      <c r="H75" s="47" t="s">
        <v>17</v>
      </c>
      <c r="I75" s="46" t="s">
        <v>73</v>
      </c>
      <c r="J75" s="48" t="s">
        <v>19</v>
      </c>
      <c r="K75" s="41"/>
      <c r="L75" s="41"/>
      <c r="M75" s="46"/>
      <c r="N75" s="46" t="s">
        <v>77</v>
      </c>
    </row>
    <row r="76" spans="1:14" ht="65.150000000000006" customHeight="1" x14ac:dyDescent="0.25">
      <c r="A76" s="30">
        <v>1198993</v>
      </c>
      <c r="B76" s="29" t="s">
        <v>1718</v>
      </c>
      <c r="C76" s="46" t="s">
        <v>1885</v>
      </c>
      <c r="D76" s="41" t="s">
        <v>1751</v>
      </c>
      <c r="E76" s="41" t="s">
        <v>1752</v>
      </c>
      <c r="F76" s="41" t="s">
        <v>1753</v>
      </c>
      <c r="G76" s="41" t="s">
        <v>1886</v>
      </c>
      <c r="H76" s="47" t="s">
        <v>17</v>
      </c>
      <c r="I76" s="46" t="s">
        <v>73</v>
      </c>
      <c r="J76" s="48" t="s">
        <v>19</v>
      </c>
      <c r="K76" s="41"/>
      <c r="L76" s="41"/>
      <c r="M76" s="46"/>
      <c r="N76" s="46" t="s">
        <v>77</v>
      </c>
    </row>
    <row r="77" spans="1:14" ht="65.150000000000006" customHeight="1" x14ac:dyDescent="0.25">
      <c r="A77" s="30">
        <v>1198994</v>
      </c>
      <c r="B77" s="29" t="s">
        <v>1718</v>
      </c>
      <c r="C77" s="46" t="s">
        <v>1887</v>
      </c>
      <c r="D77" s="41" t="s">
        <v>1751</v>
      </c>
      <c r="E77" s="41" t="s">
        <v>1752</v>
      </c>
      <c r="F77" s="41" t="s">
        <v>1753</v>
      </c>
      <c r="G77" s="41" t="s">
        <v>1888</v>
      </c>
      <c r="H77" s="47" t="s">
        <v>17</v>
      </c>
      <c r="I77" s="46" t="s">
        <v>73</v>
      </c>
      <c r="J77" s="48" t="s">
        <v>19</v>
      </c>
      <c r="K77" s="41"/>
      <c r="L77" s="41"/>
      <c r="M77" s="46"/>
      <c r="N77" s="46" t="s">
        <v>77</v>
      </c>
    </row>
    <row r="78" spans="1:14" ht="65.150000000000006" customHeight="1" x14ac:dyDescent="0.25">
      <c r="A78" s="30">
        <v>1198995</v>
      </c>
      <c r="B78" s="29" t="s">
        <v>1718</v>
      </c>
      <c r="C78" s="46" t="s">
        <v>1889</v>
      </c>
      <c r="D78" s="41" t="s">
        <v>1751</v>
      </c>
      <c r="E78" s="41" t="s">
        <v>1752</v>
      </c>
      <c r="F78" s="41" t="s">
        <v>1753</v>
      </c>
      <c r="G78" s="41" t="s">
        <v>1890</v>
      </c>
      <c r="H78" s="47" t="s">
        <v>17</v>
      </c>
      <c r="I78" s="46" t="s">
        <v>73</v>
      </c>
      <c r="J78" s="48" t="s">
        <v>19</v>
      </c>
      <c r="K78" s="41"/>
      <c r="L78" s="41"/>
      <c r="M78" s="46"/>
      <c r="N78" s="46" t="s">
        <v>77</v>
      </c>
    </row>
    <row r="79" spans="1:14" ht="65.150000000000006" customHeight="1" x14ac:dyDescent="0.25">
      <c r="A79" s="30">
        <v>1198996</v>
      </c>
      <c r="B79" s="29" t="s">
        <v>1718</v>
      </c>
      <c r="C79" s="46" t="s">
        <v>1891</v>
      </c>
      <c r="D79" s="41" t="s">
        <v>1751</v>
      </c>
      <c r="E79" s="41" t="s">
        <v>1752</v>
      </c>
      <c r="F79" s="41" t="s">
        <v>1753</v>
      </c>
      <c r="G79" s="41" t="s">
        <v>1892</v>
      </c>
      <c r="H79" s="47" t="s">
        <v>17</v>
      </c>
      <c r="I79" s="46" t="s">
        <v>73</v>
      </c>
      <c r="J79" s="48" t="s">
        <v>19</v>
      </c>
      <c r="K79" s="41"/>
      <c r="L79" s="41"/>
      <c r="M79" s="46"/>
      <c r="N79" s="46" t="s">
        <v>77</v>
      </c>
    </row>
    <row r="80" spans="1:14" ht="65.150000000000006" customHeight="1" x14ac:dyDescent="0.25">
      <c r="A80" s="30">
        <v>1198997</v>
      </c>
      <c r="B80" s="29" t="s">
        <v>1718</v>
      </c>
      <c r="C80" s="46" t="s">
        <v>1893</v>
      </c>
      <c r="D80" s="41" t="s">
        <v>1751</v>
      </c>
      <c r="E80" s="41" t="s">
        <v>1752</v>
      </c>
      <c r="F80" s="41" t="s">
        <v>1753</v>
      </c>
      <c r="G80" s="41" t="s">
        <v>1894</v>
      </c>
      <c r="H80" s="47" t="s">
        <v>17</v>
      </c>
      <c r="I80" s="46" t="s">
        <v>73</v>
      </c>
      <c r="J80" s="48" t="s">
        <v>19</v>
      </c>
      <c r="K80" s="41"/>
      <c r="L80" s="41"/>
      <c r="M80" s="46"/>
      <c r="N80" s="46" t="s">
        <v>77</v>
      </c>
    </row>
    <row r="81" spans="1:14" ht="65.150000000000006" customHeight="1" x14ac:dyDescent="0.25">
      <c r="A81" s="30">
        <v>1198998</v>
      </c>
      <c r="B81" s="29" t="s">
        <v>1718</v>
      </c>
      <c r="C81" s="46" t="s">
        <v>1895</v>
      </c>
      <c r="D81" s="41" t="s">
        <v>1751</v>
      </c>
      <c r="E81" s="41" t="s">
        <v>1752</v>
      </c>
      <c r="F81" s="41" t="s">
        <v>1753</v>
      </c>
      <c r="G81" s="41" t="s">
        <v>1896</v>
      </c>
      <c r="H81" s="47" t="s">
        <v>17</v>
      </c>
      <c r="I81" s="46" t="s">
        <v>73</v>
      </c>
      <c r="J81" s="48" t="s">
        <v>19</v>
      </c>
      <c r="K81" s="41"/>
      <c r="L81" s="41"/>
      <c r="M81" s="46"/>
      <c r="N81" s="46" t="s">
        <v>77</v>
      </c>
    </row>
    <row r="82" spans="1:14" ht="52" customHeight="1" x14ac:dyDescent="0.25">
      <c r="A82" s="30">
        <v>1198999</v>
      </c>
      <c r="B82" s="29" t="s">
        <v>1718</v>
      </c>
      <c r="C82" s="46" t="s">
        <v>1897</v>
      </c>
      <c r="D82" s="41" t="s">
        <v>1751</v>
      </c>
      <c r="E82" s="41" t="s">
        <v>1752</v>
      </c>
      <c r="F82" s="41" t="s">
        <v>1753</v>
      </c>
      <c r="G82" s="41" t="s">
        <v>1898</v>
      </c>
      <c r="H82" s="47" t="s">
        <v>17</v>
      </c>
      <c r="I82" s="46" t="s">
        <v>73</v>
      </c>
      <c r="J82" s="48" t="s">
        <v>19</v>
      </c>
      <c r="K82" s="41"/>
      <c r="L82" s="41"/>
      <c r="M82" s="46"/>
      <c r="N82" s="46" t="s">
        <v>77</v>
      </c>
    </row>
    <row r="83" spans="1:14" ht="52" customHeight="1" x14ac:dyDescent="0.25">
      <c r="A83" s="30">
        <v>1199000</v>
      </c>
      <c r="B83" s="29" t="s">
        <v>1718</v>
      </c>
      <c r="C83" s="46" t="s">
        <v>1899</v>
      </c>
      <c r="D83" s="41" t="s">
        <v>1751</v>
      </c>
      <c r="E83" s="41" t="s">
        <v>1752</v>
      </c>
      <c r="F83" s="41" t="s">
        <v>1753</v>
      </c>
      <c r="G83" s="41" t="s">
        <v>1900</v>
      </c>
      <c r="H83" s="47" t="s">
        <v>17</v>
      </c>
      <c r="I83" s="46" t="s">
        <v>73</v>
      </c>
      <c r="J83" s="48" t="s">
        <v>19</v>
      </c>
      <c r="K83" s="41"/>
      <c r="L83" s="41"/>
      <c r="M83" s="46"/>
      <c r="N83" s="46" t="s">
        <v>77</v>
      </c>
    </row>
    <row r="84" spans="1:14" ht="52" customHeight="1" x14ac:dyDescent="0.25">
      <c r="A84" s="30">
        <v>1199001</v>
      </c>
      <c r="B84" s="29" t="s">
        <v>1718</v>
      </c>
      <c r="C84" s="46" t="s">
        <v>1901</v>
      </c>
      <c r="D84" s="41" t="s">
        <v>1751</v>
      </c>
      <c r="E84" s="41" t="s">
        <v>1752</v>
      </c>
      <c r="F84" s="41" t="s">
        <v>1753</v>
      </c>
      <c r="G84" s="41" t="s">
        <v>1902</v>
      </c>
      <c r="H84" s="47" t="s">
        <v>17</v>
      </c>
      <c r="I84" s="46" t="s">
        <v>73</v>
      </c>
      <c r="J84" s="48" t="s">
        <v>19</v>
      </c>
      <c r="K84" s="41"/>
      <c r="L84" s="41"/>
      <c r="M84" s="46"/>
      <c r="N84" s="46" t="s">
        <v>77</v>
      </c>
    </row>
    <row r="85" spans="1:14" ht="52" customHeight="1" x14ac:dyDescent="0.25">
      <c r="A85" s="30">
        <v>1199002</v>
      </c>
      <c r="B85" s="29" t="s">
        <v>1718</v>
      </c>
      <c r="C85" s="46" t="s">
        <v>1903</v>
      </c>
      <c r="D85" s="41" t="s">
        <v>1751</v>
      </c>
      <c r="E85" s="41" t="s">
        <v>1752</v>
      </c>
      <c r="F85" s="41" t="s">
        <v>1753</v>
      </c>
      <c r="G85" s="41" t="s">
        <v>1904</v>
      </c>
      <c r="H85" s="47" t="s">
        <v>17</v>
      </c>
      <c r="I85" s="46" t="s">
        <v>73</v>
      </c>
      <c r="J85" s="48" t="s">
        <v>19</v>
      </c>
      <c r="K85" s="41"/>
      <c r="L85" s="41"/>
      <c r="M85" s="46"/>
      <c r="N85" s="46" t="s">
        <v>77</v>
      </c>
    </row>
    <row r="86" spans="1:14" ht="52" customHeight="1" x14ac:dyDescent="0.25">
      <c r="A86" s="30">
        <v>1199003</v>
      </c>
      <c r="B86" s="29" t="s">
        <v>1718</v>
      </c>
      <c r="C86" s="46" t="s">
        <v>1905</v>
      </c>
      <c r="D86" s="41" t="s">
        <v>1751</v>
      </c>
      <c r="E86" s="41" t="s">
        <v>1752</v>
      </c>
      <c r="F86" s="41" t="s">
        <v>1753</v>
      </c>
      <c r="G86" s="41" t="s">
        <v>1906</v>
      </c>
      <c r="H86" s="47" t="s">
        <v>17</v>
      </c>
      <c r="I86" s="46" t="s">
        <v>73</v>
      </c>
      <c r="J86" s="48" t="s">
        <v>19</v>
      </c>
      <c r="K86" s="41"/>
      <c r="L86" s="41"/>
      <c r="M86" s="46"/>
      <c r="N86" s="46" t="s">
        <v>77</v>
      </c>
    </row>
    <row r="87" spans="1:14" ht="52" customHeight="1" x14ac:dyDescent="0.25">
      <c r="A87" s="30">
        <v>1199004</v>
      </c>
      <c r="B87" s="29" t="s">
        <v>1718</v>
      </c>
      <c r="C87" s="46" t="s">
        <v>1907</v>
      </c>
      <c r="D87" s="41" t="s">
        <v>1751</v>
      </c>
      <c r="E87" s="41" t="s">
        <v>1752</v>
      </c>
      <c r="F87" s="41" t="s">
        <v>1753</v>
      </c>
      <c r="G87" s="41" t="s">
        <v>1908</v>
      </c>
      <c r="H87" s="47" t="s">
        <v>17</v>
      </c>
      <c r="I87" s="46" t="s">
        <v>73</v>
      </c>
      <c r="J87" s="48" t="s">
        <v>19</v>
      </c>
      <c r="K87" s="41"/>
      <c r="L87" s="41"/>
      <c r="M87" s="46"/>
      <c r="N87" s="46" t="s">
        <v>77</v>
      </c>
    </row>
    <row r="88" spans="1:14" ht="52" customHeight="1" x14ac:dyDescent="0.25">
      <c r="A88" s="30">
        <v>1199005</v>
      </c>
      <c r="B88" s="29" t="s">
        <v>1718</v>
      </c>
      <c r="C88" s="46" t="s">
        <v>1909</v>
      </c>
      <c r="D88" s="41" t="s">
        <v>1751</v>
      </c>
      <c r="E88" s="41" t="s">
        <v>1752</v>
      </c>
      <c r="F88" s="41" t="s">
        <v>1753</v>
      </c>
      <c r="G88" s="41" t="s">
        <v>1910</v>
      </c>
      <c r="H88" s="47" t="s">
        <v>17</v>
      </c>
      <c r="I88" s="46" t="s">
        <v>73</v>
      </c>
      <c r="J88" s="48" t="s">
        <v>19</v>
      </c>
      <c r="K88" s="41"/>
      <c r="L88" s="41"/>
      <c r="M88" s="46"/>
      <c r="N88" s="46" t="s">
        <v>77</v>
      </c>
    </row>
    <row r="89" spans="1:14" ht="52" customHeight="1" x14ac:dyDescent="0.25">
      <c r="A89" s="30">
        <v>1199006</v>
      </c>
      <c r="B89" s="29" t="s">
        <v>1718</v>
      </c>
      <c r="C89" s="46" t="s">
        <v>1911</v>
      </c>
      <c r="D89" s="41" t="s">
        <v>1751</v>
      </c>
      <c r="E89" s="41" t="s">
        <v>1752</v>
      </c>
      <c r="F89" s="41" t="s">
        <v>1753</v>
      </c>
      <c r="G89" s="41" t="s">
        <v>1912</v>
      </c>
      <c r="H89" s="47" t="s">
        <v>17</v>
      </c>
      <c r="I89" s="46" t="s">
        <v>73</v>
      </c>
      <c r="J89" s="48" t="s">
        <v>19</v>
      </c>
      <c r="K89" s="41"/>
      <c r="L89" s="41"/>
      <c r="M89" s="46"/>
      <c r="N89" s="46" t="s">
        <v>77</v>
      </c>
    </row>
    <row r="90" spans="1:14" ht="52" customHeight="1" x14ac:dyDescent="0.25">
      <c r="A90" s="30">
        <v>1199007</v>
      </c>
      <c r="B90" s="29" t="s">
        <v>1718</v>
      </c>
      <c r="C90" s="46" t="s">
        <v>1913</v>
      </c>
      <c r="D90" s="41" t="s">
        <v>1914</v>
      </c>
      <c r="E90" s="41" t="s">
        <v>1752</v>
      </c>
      <c r="F90" s="41" t="s">
        <v>1915</v>
      </c>
      <c r="G90" s="41" t="s">
        <v>1916</v>
      </c>
      <c r="H90" s="47" t="s">
        <v>17</v>
      </c>
      <c r="I90" s="46" t="s">
        <v>73</v>
      </c>
      <c r="J90" s="48" t="s">
        <v>19</v>
      </c>
      <c r="K90" s="41"/>
      <c r="L90" s="41"/>
      <c r="M90" s="46"/>
      <c r="N90" s="46" t="s">
        <v>77</v>
      </c>
    </row>
    <row r="91" spans="1:14" ht="26.15" customHeight="1" x14ac:dyDescent="0.25">
      <c r="A91" s="30">
        <v>1199008</v>
      </c>
      <c r="B91" s="29" t="s">
        <v>1718</v>
      </c>
      <c r="C91" s="46" t="s">
        <v>1917</v>
      </c>
      <c r="D91" s="41" t="s">
        <v>1914</v>
      </c>
      <c r="E91" s="41" t="s">
        <v>1752</v>
      </c>
      <c r="F91" s="41" t="s">
        <v>1918</v>
      </c>
      <c r="G91" s="41" t="s">
        <v>1919</v>
      </c>
      <c r="H91" s="47" t="s">
        <v>17</v>
      </c>
      <c r="I91" s="46" t="s">
        <v>73</v>
      </c>
      <c r="J91" s="48" t="s">
        <v>19</v>
      </c>
      <c r="K91" s="41"/>
      <c r="L91" s="41"/>
      <c r="M91" s="46"/>
      <c r="N91" s="46" t="s">
        <v>77</v>
      </c>
    </row>
    <row r="92" spans="1:14" ht="26.15" customHeight="1" x14ac:dyDescent="0.25">
      <c r="A92" s="30">
        <v>1199009</v>
      </c>
      <c r="B92" s="29" t="s">
        <v>1718</v>
      </c>
      <c r="C92" s="46" t="s">
        <v>1920</v>
      </c>
      <c r="D92" s="41" t="s">
        <v>1914</v>
      </c>
      <c r="E92" s="41" t="s">
        <v>1752</v>
      </c>
      <c r="F92" s="41" t="s">
        <v>1921</v>
      </c>
      <c r="G92" s="41" t="s">
        <v>1922</v>
      </c>
      <c r="H92" s="47" t="s">
        <v>17</v>
      </c>
      <c r="I92" s="46" t="s">
        <v>73</v>
      </c>
      <c r="J92" s="48" t="s">
        <v>19</v>
      </c>
      <c r="K92" s="41"/>
      <c r="L92" s="41"/>
      <c r="M92" s="46"/>
      <c r="N92" s="46" t="s">
        <v>77</v>
      </c>
    </row>
    <row r="93" spans="1:14" ht="26.15" customHeight="1" x14ac:dyDescent="0.25">
      <c r="A93" s="30">
        <v>1199010</v>
      </c>
      <c r="B93" s="29" t="s">
        <v>1718</v>
      </c>
      <c r="C93" s="46" t="s">
        <v>1923</v>
      </c>
      <c r="D93" s="41" t="s">
        <v>1914</v>
      </c>
      <c r="E93" s="41" t="s">
        <v>1752</v>
      </c>
      <c r="F93" s="41" t="s">
        <v>1924</v>
      </c>
      <c r="G93" s="41" t="s">
        <v>1925</v>
      </c>
      <c r="H93" s="47" t="s">
        <v>17</v>
      </c>
      <c r="I93" s="46" t="s">
        <v>73</v>
      </c>
      <c r="J93" s="48" t="s">
        <v>19</v>
      </c>
      <c r="K93" s="41"/>
      <c r="L93" s="41"/>
      <c r="M93" s="46"/>
      <c r="N93" s="46" t="s">
        <v>77</v>
      </c>
    </row>
    <row r="94" spans="1:14" ht="26.15" customHeight="1" x14ac:dyDescent="0.25">
      <c r="A94" s="30">
        <v>1199011</v>
      </c>
      <c r="B94" s="29" t="s">
        <v>1718</v>
      </c>
      <c r="C94" s="46" t="s">
        <v>1926</v>
      </c>
      <c r="D94" s="41" t="s">
        <v>1914</v>
      </c>
      <c r="E94" s="41" t="s">
        <v>1752</v>
      </c>
      <c r="F94" s="41" t="s">
        <v>1927</v>
      </c>
      <c r="G94" s="41" t="s">
        <v>1928</v>
      </c>
      <c r="H94" s="47" t="s">
        <v>17</v>
      </c>
      <c r="I94" s="46" t="s">
        <v>73</v>
      </c>
      <c r="J94" s="48" t="s">
        <v>19</v>
      </c>
      <c r="K94" s="41"/>
      <c r="L94" s="41"/>
      <c r="M94" s="46"/>
      <c r="N94" s="46" t="s">
        <v>77</v>
      </c>
    </row>
    <row r="95" spans="1:14" ht="26.15" customHeight="1" x14ac:dyDescent="0.25">
      <c r="A95" s="30">
        <v>1199012</v>
      </c>
      <c r="B95" s="29" t="s">
        <v>1718</v>
      </c>
      <c r="C95" s="46" t="s">
        <v>1929</v>
      </c>
      <c r="D95" s="41" t="s">
        <v>1914</v>
      </c>
      <c r="E95" s="41" t="s">
        <v>1752</v>
      </c>
      <c r="F95" s="41" t="s">
        <v>1930</v>
      </c>
      <c r="G95" s="41" t="s">
        <v>1931</v>
      </c>
      <c r="H95" s="47" t="s">
        <v>17</v>
      </c>
      <c r="I95" s="46" t="s">
        <v>73</v>
      </c>
      <c r="J95" s="48" t="s">
        <v>19</v>
      </c>
      <c r="K95" s="41"/>
      <c r="L95" s="41"/>
      <c r="M95" s="46"/>
      <c r="N95" s="46" t="s">
        <v>77</v>
      </c>
    </row>
    <row r="96" spans="1:14" ht="26.15" customHeight="1" x14ac:dyDescent="0.25">
      <c r="A96" s="30">
        <v>1199013</v>
      </c>
      <c r="B96" s="29" t="s">
        <v>1718</v>
      </c>
      <c r="C96" s="46" t="s">
        <v>1932</v>
      </c>
      <c r="D96" s="41" t="s">
        <v>1914</v>
      </c>
      <c r="E96" s="41" t="s">
        <v>1752</v>
      </c>
      <c r="F96" s="41" t="s">
        <v>1933</v>
      </c>
      <c r="G96" s="41" t="s">
        <v>1934</v>
      </c>
      <c r="H96" s="47" t="s">
        <v>17</v>
      </c>
      <c r="I96" s="46" t="s">
        <v>73</v>
      </c>
      <c r="J96" s="48" t="s">
        <v>19</v>
      </c>
      <c r="K96" s="41"/>
      <c r="L96" s="41"/>
      <c r="M96" s="46"/>
      <c r="N96" s="46" t="s">
        <v>77</v>
      </c>
    </row>
    <row r="97" spans="1:14" ht="52" customHeight="1" x14ac:dyDescent="0.25">
      <c r="A97" s="30">
        <v>1199014</v>
      </c>
      <c r="B97" s="29" t="s">
        <v>1718</v>
      </c>
      <c r="C97" s="46" t="s">
        <v>1935</v>
      </c>
      <c r="D97" s="41" t="s">
        <v>1936</v>
      </c>
      <c r="E97" s="41" t="s">
        <v>1752</v>
      </c>
      <c r="F97" s="41" t="s">
        <v>1937</v>
      </c>
      <c r="G97" s="41" t="s">
        <v>1938</v>
      </c>
      <c r="H97" s="47" t="s">
        <v>17</v>
      </c>
      <c r="I97" s="46" t="s">
        <v>73</v>
      </c>
      <c r="J97" s="48" t="s">
        <v>19</v>
      </c>
      <c r="K97" s="41"/>
      <c r="L97" s="41"/>
      <c r="M97" s="46"/>
      <c r="N97" s="46" t="s">
        <v>77</v>
      </c>
    </row>
    <row r="98" spans="1:14" ht="52" customHeight="1" x14ac:dyDescent="0.25">
      <c r="A98" s="30">
        <v>1199015</v>
      </c>
      <c r="B98" s="29" t="s">
        <v>1718</v>
      </c>
      <c r="C98" s="46" t="s">
        <v>1939</v>
      </c>
      <c r="D98" s="41" t="s">
        <v>1936</v>
      </c>
      <c r="E98" s="41" t="s">
        <v>1752</v>
      </c>
      <c r="F98" s="41" t="s">
        <v>1937</v>
      </c>
      <c r="G98" s="41" t="s">
        <v>1940</v>
      </c>
      <c r="H98" s="47" t="s">
        <v>17</v>
      </c>
      <c r="I98" s="46" t="s">
        <v>73</v>
      </c>
      <c r="J98" s="48" t="s">
        <v>19</v>
      </c>
      <c r="K98" s="41"/>
      <c r="L98" s="41"/>
      <c r="M98" s="46"/>
      <c r="N98" s="46" t="s">
        <v>77</v>
      </c>
    </row>
  </sheetData>
  <phoneticPr fontId="1" type="noConversion"/>
  <conditionalFormatting sqref="H2:H3">
    <cfRule type="cellIs" dxfId="14" priority="14" operator="equal">
      <formula>"Vehicle"</formula>
    </cfRule>
    <cfRule type="cellIs" dxfId="13" priority="15" operator="equal">
      <formula>"Bench"</formula>
    </cfRule>
  </conditionalFormatting>
  <conditionalFormatting sqref="J2:J3">
    <cfRule type="cellIs" dxfId="12" priority="11" operator="equal">
      <formula>"P0"</formula>
    </cfRule>
    <cfRule type="cellIs" dxfId="11" priority="12" operator="equal">
      <formula>"P1"</formula>
    </cfRule>
    <cfRule type="cellIs" dxfId="10" priority="13" operator="equal">
      <formula>"P2"</formula>
    </cfRule>
  </conditionalFormatting>
  <conditionalFormatting sqref="H4:H8">
    <cfRule type="cellIs" dxfId="9" priority="9" operator="equal">
      <formula>"Vehicle"</formula>
    </cfRule>
    <cfRule type="cellIs" dxfId="8" priority="10" operator="equal">
      <formula>"Bench"</formula>
    </cfRule>
  </conditionalFormatting>
  <conditionalFormatting sqref="J4:J8">
    <cfRule type="cellIs" dxfId="7" priority="6" operator="equal">
      <formula>"P0"</formula>
    </cfRule>
    <cfRule type="cellIs" dxfId="6" priority="7" operator="equal">
      <formula>"P1"</formula>
    </cfRule>
    <cfRule type="cellIs" dxfId="5" priority="8" operator="equal">
      <formula>"P2"</formula>
    </cfRule>
  </conditionalFormatting>
  <conditionalFormatting sqref="H9">
    <cfRule type="cellIs" dxfId="4" priority="4" operator="equal">
      <formula>"Vehicle"</formula>
    </cfRule>
    <cfRule type="cellIs" dxfId="3" priority="5" operator="equal">
      <formula>"Bench"</formula>
    </cfRule>
  </conditionalFormatting>
  <conditionalFormatting sqref="J9">
    <cfRule type="cellIs" dxfId="2" priority="1" operator="equal">
      <formula>"P0"</formula>
    </cfRule>
    <cfRule type="cellIs" dxfId="1" priority="2" operator="equal">
      <formula>"P1"</formula>
    </cfRule>
    <cfRule type="cellIs" dxfId="0" priority="3" operator="equal">
      <formula>"P2"</formula>
    </cfRule>
  </conditionalFormatting>
  <dataValidations count="5">
    <dataValidation type="list" allowBlank="1" showInputMessage="1" showErrorMessage="1" sqref="M2:M9" xr:uid="{00000000-0002-0000-0B00-000000000000}">
      <formula1>"smoke, sanity, full"</formula1>
    </dataValidation>
    <dataValidation type="list" allowBlank="1" showInputMessage="1" showErrorMessage="1" sqref="N2:N9" xr:uid="{00000000-0002-0000-0B00-000001000000}">
      <formula1>"Y, N"</formula1>
    </dataValidation>
    <dataValidation type="list" errorStyle="warning" allowBlank="1" showInputMessage="1" showErrorMessage="1" errorTitle="Error" error="Set a valid value" sqref="J2:J9" xr:uid="{00000000-0002-0000-0B00-000002000000}">
      <formula1>LookupTypeRange263</formula1>
    </dataValidation>
    <dataValidation type="list" errorStyle="warning" allowBlank="1" showInputMessage="1" showErrorMessage="1" errorTitle="Error" error="Set a valid value" sqref="I2:I9" xr:uid="{00000000-0002-0000-0B00-000003000000}">
      <formula1>LookupTypeRange257</formula1>
    </dataValidation>
    <dataValidation type="list" errorStyle="warning" allowBlank="1" showInputMessage="1" showErrorMessage="1" errorTitle="Error" error="Set a valid value" sqref="H2:H9" xr:uid="{00000000-0002-0000-0B00-000004000000}">
      <formula1>LookupTypeRange256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8"/>
  <sheetViews>
    <sheetView workbookViewId="0">
      <selection activeCell="D5" sqref="D5"/>
    </sheetView>
  </sheetViews>
  <sheetFormatPr defaultRowHeight="14" x14ac:dyDescent="0.25"/>
  <cols>
    <col min="1" max="1" width="32.90625" style="17" customWidth="1"/>
    <col min="2" max="2" width="27.90625" style="17" customWidth="1"/>
    <col min="3" max="3" width="33.08984375" style="17" customWidth="1"/>
    <col min="4" max="4" width="31.7265625" style="17" customWidth="1"/>
    <col min="5" max="5" width="24.90625" style="17" customWidth="1"/>
  </cols>
  <sheetData>
    <row r="1" spans="1:13" s="67" customFormat="1" ht="14.25" customHeight="1" x14ac:dyDescent="0.3">
      <c r="A1" s="63" t="s">
        <v>0</v>
      </c>
      <c r="B1" s="63" t="s">
        <v>1</v>
      </c>
      <c r="C1" s="63" t="s">
        <v>2</v>
      </c>
      <c r="D1" s="63" t="s">
        <v>59</v>
      </c>
      <c r="E1" s="63" t="s">
        <v>60</v>
      </c>
      <c r="F1" s="64" t="s">
        <v>61</v>
      </c>
      <c r="G1" s="65" t="s">
        <v>62</v>
      </c>
      <c r="H1" s="65" t="s">
        <v>63</v>
      </c>
      <c r="I1" s="65" t="s">
        <v>8</v>
      </c>
      <c r="J1" s="65" t="s">
        <v>64</v>
      </c>
      <c r="K1" s="65" t="s">
        <v>65</v>
      </c>
      <c r="L1" s="65" t="s">
        <v>11</v>
      </c>
      <c r="M1" s="66" t="s">
        <v>66</v>
      </c>
    </row>
    <row r="2" spans="1:13" ht="45.75" customHeight="1" x14ac:dyDescent="0.25">
      <c r="A2" s="46" t="s">
        <v>1941</v>
      </c>
      <c r="B2" s="46" t="s">
        <v>1942</v>
      </c>
      <c r="C2" s="43" t="s">
        <v>1943</v>
      </c>
      <c r="D2" s="41" t="s">
        <v>1944</v>
      </c>
      <c r="E2" s="41" t="s">
        <v>1945</v>
      </c>
      <c r="F2" s="47" t="s">
        <v>17</v>
      </c>
      <c r="G2" s="46" t="s">
        <v>73</v>
      </c>
      <c r="H2" s="40" t="s">
        <v>506</v>
      </c>
      <c r="I2" s="41" t="s">
        <v>74</v>
      </c>
      <c r="J2" s="46"/>
      <c r="K2" s="46" t="s">
        <v>22</v>
      </c>
      <c r="L2" s="46" t="s">
        <v>23</v>
      </c>
      <c r="M2" s="17"/>
    </row>
    <row r="3" spans="1:13" ht="45.75" customHeight="1" x14ac:dyDescent="0.25">
      <c r="A3" s="46" t="s">
        <v>1946</v>
      </c>
      <c r="B3" s="46" t="s">
        <v>1947</v>
      </c>
      <c r="C3" s="43" t="s">
        <v>1948</v>
      </c>
      <c r="D3" s="41" t="s">
        <v>1949</v>
      </c>
      <c r="E3" s="41" t="s">
        <v>1945</v>
      </c>
      <c r="F3" s="47" t="s">
        <v>17</v>
      </c>
      <c r="G3" s="46" t="s">
        <v>73</v>
      </c>
      <c r="H3" s="40" t="s">
        <v>506</v>
      </c>
      <c r="I3" s="41" t="s">
        <v>74</v>
      </c>
      <c r="J3" s="46"/>
      <c r="K3" s="46" t="s">
        <v>22</v>
      </c>
      <c r="L3" s="46" t="s">
        <v>23</v>
      </c>
      <c r="M3" s="17"/>
    </row>
    <row r="4" spans="1:13" ht="45.75" customHeight="1" x14ac:dyDescent="0.25">
      <c r="A4" s="46" t="s">
        <v>1950</v>
      </c>
      <c r="B4" s="46" t="s">
        <v>1951</v>
      </c>
      <c r="C4" s="43" t="s">
        <v>1943</v>
      </c>
      <c r="D4" s="41" t="s">
        <v>1952</v>
      </c>
      <c r="E4" s="41" t="s">
        <v>1945</v>
      </c>
      <c r="F4" s="47" t="s">
        <v>17</v>
      </c>
      <c r="G4" s="46" t="s">
        <v>73</v>
      </c>
      <c r="H4" s="40" t="s">
        <v>506</v>
      </c>
      <c r="I4" s="41" t="s">
        <v>74</v>
      </c>
      <c r="J4" s="46"/>
      <c r="K4" s="46" t="s">
        <v>22</v>
      </c>
      <c r="L4" s="46" t="s">
        <v>23</v>
      </c>
      <c r="M4" s="17"/>
    </row>
    <row r="5" spans="1:13" ht="54" customHeight="1" x14ac:dyDescent="0.25">
      <c r="A5" s="46" t="s">
        <v>1953</v>
      </c>
      <c r="B5" s="46" t="s">
        <v>1954</v>
      </c>
      <c r="C5" s="43" t="s">
        <v>1955</v>
      </c>
      <c r="D5" s="41" t="s">
        <v>1956</v>
      </c>
      <c r="E5" s="41" t="s">
        <v>1957</v>
      </c>
      <c r="F5" s="47" t="s">
        <v>17</v>
      </c>
      <c r="G5" s="46" t="s">
        <v>73</v>
      </c>
      <c r="H5" s="42" t="s">
        <v>103</v>
      </c>
      <c r="I5" s="41" t="s">
        <v>74</v>
      </c>
      <c r="J5" s="46"/>
      <c r="K5" s="46" t="s">
        <v>22</v>
      </c>
      <c r="L5" s="46" t="s">
        <v>23</v>
      </c>
      <c r="M5" s="17"/>
    </row>
    <row r="6" spans="1:13" ht="39.75" customHeight="1" x14ac:dyDescent="0.25">
      <c r="A6" s="46" t="s">
        <v>1958</v>
      </c>
      <c r="B6" s="46" t="s">
        <v>1959</v>
      </c>
      <c r="C6" s="43" t="s">
        <v>1943</v>
      </c>
      <c r="D6" s="41" t="s">
        <v>1960</v>
      </c>
      <c r="E6" s="41" t="s">
        <v>1945</v>
      </c>
      <c r="F6" s="47" t="s">
        <v>17</v>
      </c>
      <c r="G6" s="46" t="s">
        <v>73</v>
      </c>
      <c r="H6" s="42" t="s">
        <v>103</v>
      </c>
      <c r="I6" s="41" t="s">
        <v>74</v>
      </c>
      <c r="J6" s="46"/>
      <c r="K6" s="46" t="s">
        <v>22</v>
      </c>
      <c r="L6" s="46" t="s">
        <v>23</v>
      </c>
      <c r="M6" s="17"/>
    </row>
    <row r="7" spans="1:13" ht="38.25" customHeight="1" x14ac:dyDescent="0.25">
      <c r="A7" s="46" t="s">
        <v>1961</v>
      </c>
      <c r="B7" s="46" t="s">
        <v>1962</v>
      </c>
      <c r="C7" s="43" t="s">
        <v>1943</v>
      </c>
      <c r="D7" s="41" t="s">
        <v>1963</v>
      </c>
      <c r="E7" s="41" t="s">
        <v>1964</v>
      </c>
      <c r="F7" s="47" t="s">
        <v>17</v>
      </c>
      <c r="G7" s="46" t="s">
        <v>73</v>
      </c>
      <c r="H7" s="40" t="s">
        <v>506</v>
      </c>
      <c r="I7" s="41" t="s">
        <v>74</v>
      </c>
      <c r="J7" s="46"/>
      <c r="K7" s="46" t="s">
        <v>22</v>
      </c>
      <c r="L7" s="46" t="s">
        <v>23</v>
      </c>
      <c r="M7" s="17"/>
    </row>
    <row r="8" spans="1:13" ht="47.25" customHeight="1" x14ac:dyDescent="0.25">
      <c r="A8" s="46" t="s">
        <v>1965</v>
      </c>
      <c r="B8" s="46" t="s">
        <v>1966</v>
      </c>
      <c r="C8" s="43" t="s">
        <v>1943</v>
      </c>
      <c r="D8" s="41" t="s">
        <v>1967</v>
      </c>
      <c r="E8" s="41" t="s">
        <v>1968</v>
      </c>
      <c r="F8" s="47" t="s">
        <v>17</v>
      </c>
      <c r="G8" s="46" t="s">
        <v>73</v>
      </c>
      <c r="H8" s="42" t="s">
        <v>103</v>
      </c>
      <c r="I8" s="41" t="s">
        <v>74</v>
      </c>
      <c r="J8" s="46"/>
      <c r="K8" s="46" t="s">
        <v>22</v>
      </c>
      <c r="L8" s="46" t="s">
        <v>23</v>
      </c>
      <c r="M8" s="1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3"/>
  <sheetViews>
    <sheetView topLeftCell="A31" workbookViewId="0">
      <selection activeCell="C3" sqref="C3"/>
    </sheetView>
  </sheetViews>
  <sheetFormatPr defaultColWidth="9" defaultRowHeight="14" x14ac:dyDescent="0.25"/>
  <cols>
    <col min="1" max="1" width="24.90625" style="30" customWidth="1"/>
    <col min="2" max="2" width="24.90625" style="17" customWidth="1"/>
    <col min="3" max="3" width="35.26953125" style="17" customWidth="1"/>
    <col min="4" max="4" width="40.7265625" style="17" customWidth="1"/>
    <col min="5" max="5" width="36.7265625" style="17" customWidth="1"/>
    <col min="6" max="6" width="54.36328125" style="17" customWidth="1"/>
    <col min="7" max="7" width="82.36328125" style="17" customWidth="1"/>
    <col min="8" max="8" width="14.26953125" style="17" customWidth="1"/>
    <col min="9" max="9" width="18.90625" style="17" customWidth="1"/>
    <col min="10" max="10" width="16.08984375" style="17" customWidth="1"/>
    <col min="11" max="11" width="8.90625" style="17" customWidth="1"/>
    <col min="12" max="12" width="22.08984375" style="17" customWidth="1"/>
    <col min="13" max="13" width="10.08984375" style="17" customWidth="1"/>
    <col min="14" max="14" width="13.7265625" style="17" customWidth="1"/>
    <col min="15" max="15" width="9" style="17" customWidth="1"/>
    <col min="16" max="16" width="11.6328125" style="17" customWidth="1"/>
    <col min="17" max="17" width="18.453125" style="17" customWidth="1"/>
    <col min="18" max="18" width="9" style="17" customWidth="1"/>
    <col min="19" max="16384" width="9" style="17"/>
  </cols>
  <sheetData>
    <row r="1" spans="1:17" s="69" customFormat="1" ht="14.25" customHeight="1" x14ac:dyDescent="0.3">
      <c r="A1" s="126" t="s">
        <v>57</v>
      </c>
      <c r="B1" s="119" t="s">
        <v>58</v>
      </c>
      <c r="C1" s="60" t="s">
        <v>0</v>
      </c>
      <c r="D1" s="60" t="s">
        <v>1</v>
      </c>
      <c r="E1" s="60" t="s">
        <v>2</v>
      </c>
      <c r="F1" s="60" t="s">
        <v>59</v>
      </c>
      <c r="G1" s="60" t="s">
        <v>60</v>
      </c>
      <c r="H1" s="58" t="s">
        <v>61</v>
      </c>
      <c r="I1" s="59" t="s">
        <v>62</v>
      </c>
      <c r="J1" s="59" t="s">
        <v>63</v>
      </c>
      <c r="K1" s="59" t="s">
        <v>8</v>
      </c>
      <c r="L1" s="59" t="s">
        <v>64</v>
      </c>
      <c r="M1" s="59" t="s">
        <v>65</v>
      </c>
      <c r="N1" s="60" t="s">
        <v>11</v>
      </c>
      <c r="O1" s="61" t="s">
        <v>1969</v>
      </c>
      <c r="P1" s="61" t="s">
        <v>1970</v>
      </c>
      <c r="Q1" s="62" t="s">
        <v>66</v>
      </c>
    </row>
    <row r="2" spans="1:17" ht="61.5" customHeight="1" x14ac:dyDescent="0.25">
      <c r="A2" s="30">
        <v>1199016</v>
      </c>
      <c r="B2" s="10" t="s">
        <v>1971</v>
      </c>
      <c r="C2" s="74" t="s">
        <v>1972</v>
      </c>
      <c r="D2" s="75" t="s">
        <v>1973</v>
      </c>
      <c r="E2" s="76" t="s">
        <v>1974</v>
      </c>
      <c r="F2" s="76" t="s">
        <v>1975</v>
      </c>
      <c r="G2" s="77" t="s">
        <v>1976</v>
      </c>
      <c r="H2" s="78" t="s">
        <v>1977</v>
      </c>
      <c r="I2" s="78" t="s">
        <v>1977</v>
      </c>
      <c r="J2" s="74" t="s">
        <v>506</v>
      </c>
      <c r="K2" s="74" t="s">
        <v>74</v>
      </c>
      <c r="L2" s="74" t="s">
        <v>1978</v>
      </c>
      <c r="M2" s="75" t="s">
        <v>22</v>
      </c>
      <c r="N2" s="75" t="s">
        <v>23</v>
      </c>
      <c r="O2" s="79" t="s">
        <v>23</v>
      </c>
      <c r="Q2" s="10" t="s">
        <v>78</v>
      </c>
    </row>
    <row r="3" spans="1:17" ht="61.5" customHeight="1" x14ac:dyDescent="0.25">
      <c r="A3" s="30">
        <v>1199017</v>
      </c>
      <c r="B3" s="10" t="s">
        <v>1971</v>
      </c>
      <c r="C3" s="74" t="s">
        <v>1979</v>
      </c>
      <c r="D3" s="75" t="s">
        <v>1980</v>
      </c>
      <c r="E3" s="76" t="s">
        <v>1974</v>
      </c>
      <c r="F3" s="76" t="s">
        <v>1981</v>
      </c>
      <c r="G3" s="77" t="s">
        <v>1982</v>
      </c>
      <c r="H3" s="78" t="s">
        <v>1977</v>
      </c>
      <c r="I3" s="78" t="s">
        <v>1977</v>
      </c>
      <c r="J3" s="74" t="s">
        <v>506</v>
      </c>
      <c r="K3" s="74" t="s">
        <v>74</v>
      </c>
      <c r="L3" s="74" t="s">
        <v>1978</v>
      </c>
      <c r="M3" s="75" t="s">
        <v>22</v>
      </c>
      <c r="N3" s="75" t="s">
        <v>23</v>
      </c>
      <c r="O3" s="79" t="s">
        <v>23</v>
      </c>
      <c r="Q3" s="10" t="s">
        <v>78</v>
      </c>
    </row>
    <row r="4" spans="1:17" ht="61.5" customHeight="1" x14ac:dyDescent="0.25">
      <c r="A4" s="30">
        <v>1199018</v>
      </c>
      <c r="B4" s="10" t="s">
        <v>1971</v>
      </c>
      <c r="C4" s="74" t="s">
        <v>1983</v>
      </c>
      <c r="D4" s="75" t="s">
        <v>1984</v>
      </c>
      <c r="E4" s="76" t="s">
        <v>1974</v>
      </c>
      <c r="F4" s="76" t="s">
        <v>1981</v>
      </c>
      <c r="G4" s="77" t="s">
        <v>1985</v>
      </c>
      <c r="H4" s="78" t="s">
        <v>1977</v>
      </c>
      <c r="I4" s="78" t="s">
        <v>1977</v>
      </c>
      <c r="J4" s="74" t="s">
        <v>506</v>
      </c>
      <c r="K4" s="74" t="s">
        <v>74</v>
      </c>
      <c r="L4" s="74" t="s">
        <v>1978</v>
      </c>
      <c r="M4" s="75" t="s">
        <v>22</v>
      </c>
      <c r="N4" s="75" t="s">
        <v>23</v>
      </c>
      <c r="O4" s="79" t="s">
        <v>23</v>
      </c>
      <c r="Q4" s="10" t="s">
        <v>78</v>
      </c>
    </row>
    <row r="5" spans="1:17" ht="45.75" customHeight="1" x14ac:dyDescent="0.25">
      <c r="A5" s="30">
        <v>1199019</v>
      </c>
      <c r="B5" s="10" t="s">
        <v>1971</v>
      </c>
      <c r="C5" s="74" t="s">
        <v>1986</v>
      </c>
      <c r="D5" s="75" t="s">
        <v>1987</v>
      </c>
      <c r="E5" s="76" t="s">
        <v>1974</v>
      </c>
      <c r="F5" s="76" t="s">
        <v>1988</v>
      </c>
      <c r="G5" s="77" t="s">
        <v>1989</v>
      </c>
      <c r="H5" s="78" t="s">
        <v>1977</v>
      </c>
      <c r="I5" s="78" t="s">
        <v>1977</v>
      </c>
      <c r="J5" s="74" t="s">
        <v>506</v>
      </c>
      <c r="K5" s="74" t="s">
        <v>74</v>
      </c>
      <c r="L5" s="74" t="s">
        <v>1990</v>
      </c>
      <c r="M5" s="75" t="s">
        <v>22</v>
      </c>
      <c r="N5" s="75" t="s">
        <v>23</v>
      </c>
      <c r="O5" s="79" t="s">
        <v>23</v>
      </c>
      <c r="Q5" s="10" t="s">
        <v>491</v>
      </c>
    </row>
    <row r="6" spans="1:17" ht="45.75" customHeight="1" x14ac:dyDescent="0.25">
      <c r="A6" s="30">
        <v>1199020</v>
      </c>
      <c r="B6" s="10" t="s">
        <v>1971</v>
      </c>
      <c r="C6" s="74" t="s">
        <v>1991</v>
      </c>
      <c r="D6" s="75" t="s">
        <v>1992</v>
      </c>
      <c r="E6" s="76" t="s">
        <v>1974</v>
      </c>
      <c r="F6" s="76" t="s">
        <v>1993</v>
      </c>
      <c r="G6" s="77" t="s">
        <v>1994</v>
      </c>
      <c r="H6" s="78" t="s">
        <v>1977</v>
      </c>
      <c r="I6" s="78" t="s">
        <v>1977</v>
      </c>
      <c r="J6" s="74" t="s">
        <v>506</v>
      </c>
      <c r="K6" s="74" t="s">
        <v>74</v>
      </c>
      <c r="L6" s="74" t="s">
        <v>1990</v>
      </c>
      <c r="M6" s="75" t="s">
        <v>22</v>
      </c>
      <c r="N6" s="75" t="s">
        <v>23</v>
      </c>
      <c r="O6" s="79" t="s">
        <v>23</v>
      </c>
      <c r="Q6" s="10" t="s">
        <v>491</v>
      </c>
    </row>
    <row r="7" spans="1:17" ht="45.75" customHeight="1" x14ac:dyDescent="0.25">
      <c r="A7" s="30">
        <v>1199021</v>
      </c>
      <c r="B7" s="10" t="s">
        <v>1971</v>
      </c>
      <c r="C7" s="74" t="s">
        <v>1995</v>
      </c>
      <c r="D7" s="75" t="s">
        <v>1996</v>
      </c>
      <c r="E7" s="76" t="s">
        <v>1974</v>
      </c>
      <c r="F7" s="76" t="s">
        <v>1997</v>
      </c>
      <c r="G7" s="77" t="s">
        <v>1994</v>
      </c>
      <c r="H7" s="78" t="s">
        <v>1977</v>
      </c>
      <c r="I7" s="78" t="s">
        <v>1977</v>
      </c>
      <c r="J7" s="74" t="s">
        <v>506</v>
      </c>
      <c r="K7" s="74" t="s">
        <v>74</v>
      </c>
      <c r="L7" s="74" t="s">
        <v>1990</v>
      </c>
      <c r="M7" s="75" t="s">
        <v>22</v>
      </c>
      <c r="N7" s="75" t="s">
        <v>23</v>
      </c>
      <c r="O7" s="79" t="s">
        <v>23</v>
      </c>
      <c r="Q7" s="10" t="s">
        <v>491</v>
      </c>
    </row>
    <row r="8" spans="1:17" ht="45.75" customHeight="1" x14ac:dyDescent="0.25">
      <c r="A8" s="30">
        <v>1199022</v>
      </c>
      <c r="B8" s="10" t="s">
        <v>1971</v>
      </c>
      <c r="C8" s="74" t="s">
        <v>1998</v>
      </c>
      <c r="D8" s="75" t="s">
        <v>1999</v>
      </c>
      <c r="E8" s="76" t="s">
        <v>1974</v>
      </c>
      <c r="F8" s="76" t="s">
        <v>2000</v>
      </c>
      <c r="G8" s="77" t="s">
        <v>1994</v>
      </c>
      <c r="H8" s="78" t="s">
        <v>1977</v>
      </c>
      <c r="I8" s="78" t="s">
        <v>1977</v>
      </c>
      <c r="J8" s="74" t="s">
        <v>506</v>
      </c>
      <c r="K8" s="74" t="s">
        <v>74</v>
      </c>
      <c r="L8" s="74" t="s">
        <v>1990</v>
      </c>
      <c r="M8" s="75" t="s">
        <v>22</v>
      </c>
      <c r="N8" s="75" t="s">
        <v>23</v>
      </c>
      <c r="O8" s="79" t="s">
        <v>23</v>
      </c>
      <c r="Q8" s="10" t="s">
        <v>491</v>
      </c>
    </row>
    <row r="9" spans="1:17" ht="45.75" customHeight="1" x14ac:dyDescent="0.25">
      <c r="A9" s="30">
        <v>1199023</v>
      </c>
      <c r="B9" s="10" t="s">
        <v>1971</v>
      </c>
      <c r="C9" s="74" t="s">
        <v>2001</v>
      </c>
      <c r="D9" s="75" t="s">
        <v>2002</v>
      </c>
      <c r="E9" s="76" t="s">
        <v>1974</v>
      </c>
      <c r="F9" s="76" t="s">
        <v>2003</v>
      </c>
      <c r="G9" s="77" t="s">
        <v>2004</v>
      </c>
      <c r="H9" s="78" t="s">
        <v>1977</v>
      </c>
      <c r="I9" s="78" t="s">
        <v>1977</v>
      </c>
      <c r="J9" s="74" t="s">
        <v>19</v>
      </c>
      <c r="K9" s="74" t="s">
        <v>74</v>
      </c>
      <c r="L9" s="74" t="s">
        <v>2005</v>
      </c>
      <c r="M9" s="75" t="s">
        <v>22</v>
      </c>
      <c r="N9" s="75" t="s">
        <v>23</v>
      </c>
      <c r="O9" s="79" t="s">
        <v>23</v>
      </c>
      <c r="Q9" s="10" t="s">
        <v>491</v>
      </c>
    </row>
    <row r="10" spans="1:17" ht="45.75" customHeight="1" x14ac:dyDescent="0.25">
      <c r="A10" s="30">
        <v>1199024</v>
      </c>
      <c r="B10" s="10" t="s">
        <v>1971</v>
      </c>
      <c r="C10" s="74" t="s">
        <v>2006</v>
      </c>
      <c r="D10" s="75" t="s">
        <v>2007</v>
      </c>
      <c r="E10" s="76" t="s">
        <v>1974</v>
      </c>
      <c r="F10" s="76" t="s">
        <v>2008</v>
      </c>
      <c r="G10" s="80" t="s">
        <v>2009</v>
      </c>
      <c r="H10" s="78" t="s">
        <v>1977</v>
      </c>
      <c r="I10" s="78" t="s">
        <v>1977</v>
      </c>
      <c r="J10" s="74" t="s">
        <v>19</v>
      </c>
      <c r="K10" s="74" t="s">
        <v>74</v>
      </c>
      <c r="L10" s="74" t="s">
        <v>2005</v>
      </c>
      <c r="M10" s="75" t="s">
        <v>22</v>
      </c>
      <c r="N10" s="75" t="s">
        <v>23</v>
      </c>
      <c r="O10" s="79" t="s">
        <v>23</v>
      </c>
      <c r="Q10" s="10" t="s">
        <v>491</v>
      </c>
    </row>
    <row r="11" spans="1:17" ht="45.75" customHeight="1" x14ac:dyDescent="0.25">
      <c r="A11" s="30">
        <v>1199025</v>
      </c>
      <c r="B11" s="10" t="s">
        <v>1971</v>
      </c>
      <c r="C11" s="74" t="s">
        <v>2010</v>
      </c>
      <c r="D11" s="75" t="s">
        <v>2011</v>
      </c>
      <c r="E11" s="76" t="s">
        <v>1974</v>
      </c>
      <c r="F11" s="76" t="s">
        <v>2012</v>
      </c>
      <c r="G11" s="77" t="s">
        <v>2013</v>
      </c>
      <c r="H11" s="78" t="s">
        <v>1977</v>
      </c>
      <c r="I11" s="78" t="s">
        <v>1977</v>
      </c>
      <c r="J11" s="74" t="s">
        <v>19</v>
      </c>
      <c r="K11" s="74" t="s">
        <v>74</v>
      </c>
      <c r="L11" s="74" t="s">
        <v>2005</v>
      </c>
      <c r="M11" s="75" t="s">
        <v>22</v>
      </c>
      <c r="N11" s="75" t="s">
        <v>23</v>
      </c>
      <c r="O11" s="79" t="s">
        <v>23</v>
      </c>
      <c r="Q11" s="10" t="s">
        <v>491</v>
      </c>
    </row>
    <row r="12" spans="1:17" ht="45.75" customHeight="1" x14ac:dyDescent="0.25">
      <c r="A12" s="30">
        <v>1199026</v>
      </c>
      <c r="B12" s="10" t="s">
        <v>1971</v>
      </c>
      <c r="C12" s="74" t="s">
        <v>2014</v>
      </c>
      <c r="D12" s="75" t="s">
        <v>2015</v>
      </c>
      <c r="E12" s="76" t="s">
        <v>1974</v>
      </c>
      <c r="F12" s="76" t="s">
        <v>2016</v>
      </c>
      <c r="G12" s="80" t="s">
        <v>2017</v>
      </c>
      <c r="H12" s="78" t="s">
        <v>1977</v>
      </c>
      <c r="I12" s="78" t="s">
        <v>1977</v>
      </c>
      <c r="J12" s="74" t="s">
        <v>19</v>
      </c>
      <c r="K12" s="74" t="s">
        <v>74</v>
      </c>
      <c r="L12" s="74" t="s">
        <v>2018</v>
      </c>
      <c r="M12" s="75" t="s">
        <v>113</v>
      </c>
      <c r="N12" s="75" t="s">
        <v>23</v>
      </c>
      <c r="O12" s="79" t="s">
        <v>23</v>
      </c>
      <c r="Q12" s="10" t="s">
        <v>491</v>
      </c>
    </row>
    <row r="13" spans="1:17" ht="45.75" customHeight="1" x14ac:dyDescent="0.25">
      <c r="A13" s="30">
        <v>1199027</v>
      </c>
      <c r="B13" s="10" t="s">
        <v>1971</v>
      </c>
      <c r="C13" s="74" t="s">
        <v>2019</v>
      </c>
      <c r="D13" s="75" t="s">
        <v>2020</v>
      </c>
      <c r="E13" s="76" t="s">
        <v>1974</v>
      </c>
      <c r="F13" s="76" t="s">
        <v>2021</v>
      </c>
      <c r="G13" s="80" t="s">
        <v>2022</v>
      </c>
      <c r="H13" s="78" t="s">
        <v>1977</v>
      </c>
      <c r="I13" s="78" t="s">
        <v>1977</v>
      </c>
      <c r="J13" s="74" t="s">
        <v>19</v>
      </c>
      <c r="K13" s="74" t="s">
        <v>74</v>
      </c>
      <c r="L13" s="74" t="s">
        <v>2018</v>
      </c>
      <c r="M13" s="75" t="s">
        <v>113</v>
      </c>
      <c r="N13" s="75" t="s">
        <v>23</v>
      </c>
      <c r="O13" s="79" t="s">
        <v>23</v>
      </c>
      <c r="Q13" s="10" t="s">
        <v>491</v>
      </c>
    </row>
    <row r="14" spans="1:17" ht="45.75" customHeight="1" x14ac:dyDescent="0.25">
      <c r="A14" s="30">
        <v>1199028</v>
      </c>
      <c r="B14" s="10" t="s">
        <v>1971</v>
      </c>
      <c r="C14" s="74" t="s">
        <v>2023</v>
      </c>
      <c r="D14" s="75" t="s">
        <v>2024</v>
      </c>
      <c r="E14" s="76" t="s">
        <v>1974</v>
      </c>
      <c r="F14" s="76" t="s">
        <v>2025</v>
      </c>
      <c r="G14" s="80" t="s">
        <v>2026</v>
      </c>
      <c r="H14" s="78" t="s">
        <v>1977</v>
      </c>
      <c r="I14" s="78" t="s">
        <v>1977</v>
      </c>
      <c r="J14" s="74" t="s">
        <v>19</v>
      </c>
      <c r="K14" s="74" t="s">
        <v>74</v>
      </c>
      <c r="L14" s="74" t="s">
        <v>2018</v>
      </c>
      <c r="M14" s="75" t="s">
        <v>22</v>
      </c>
      <c r="N14" s="75" t="s">
        <v>23</v>
      </c>
      <c r="O14" s="79" t="s">
        <v>23</v>
      </c>
      <c r="Q14" s="10" t="s">
        <v>491</v>
      </c>
    </row>
    <row r="15" spans="1:17" ht="45.75" customHeight="1" x14ac:dyDescent="0.25">
      <c r="A15" s="30">
        <v>1199029</v>
      </c>
      <c r="B15" s="10" t="s">
        <v>1971</v>
      </c>
      <c r="C15" s="74" t="s">
        <v>2027</v>
      </c>
      <c r="D15" s="75" t="s">
        <v>2028</v>
      </c>
      <c r="E15" s="76" t="s">
        <v>1974</v>
      </c>
      <c r="F15" s="76" t="s">
        <v>2029</v>
      </c>
      <c r="G15" s="80" t="s">
        <v>2030</v>
      </c>
      <c r="H15" s="75" t="s">
        <v>1977</v>
      </c>
      <c r="I15" s="78" t="s">
        <v>1977</v>
      </c>
      <c r="J15" s="74" t="s">
        <v>19</v>
      </c>
      <c r="K15" s="74" t="s">
        <v>74</v>
      </c>
      <c r="L15" s="74" t="s">
        <v>2031</v>
      </c>
      <c r="M15" s="75" t="s">
        <v>76</v>
      </c>
      <c r="N15" s="75" t="s">
        <v>23</v>
      </c>
      <c r="O15" s="79" t="s">
        <v>23</v>
      </c>
      <c r="Q15" s="10" t="s">
        <v>2032</v>
      </c>
    </row>
    <row r="16" spans="1:17" ht="14.25" customHeight="1" x14ac:dyDescent="0.25">
      <c r="A16" s="30">
        <v>1199030</v>
      </c>
      <c r="B16" s="10" t="s">
        <v>1971</v>
      </c>
      <c r="C16" s="74" t="s">
        <v>2033</v>
      </c>
      <c r="D16" s="75" t="s">
        <v>2034</v>
      </c>
      <c r="E16" s="76" t="s">
        <v>1974</v>
      </c>
      <c r="F16" s="76" t="s">
        <v>2035</v>
      </c>
      <c r="G16" s="80" t="s">
        <v>2036</v>
      </c>
      <c r="H16" s="75" t="s">
        <v>1977</v>
      </c>
      <c r="I16" s="78" t="s">
        <v>1977</v>
      </c>
      <c r="J16" s="74" t="s">
        <v>19</v>
      </c>
      <c r="K16" s="74" t="s">
        <v>74</v>
      </c>
      <c r="L16" s="74" t="s">
        <v>2037</v>
      </c>
      <c r="M16" s="75" t="s">
        <v>76</v>
      </c>
      <c r="N16" s="75" t="s">
        <v>23</v>
      </c>
      <c r="O16" s="79" t="s">
        <v>23</v>
      </c>
      <c r="Q16" s="10" t="s">
        <v>2032</v>
      </c>
    </row>
    <row r="17" spans="1:17" ht="14.25" customHeight="1" x14ac:dyDescent="0.25">
      <c r="A17" s="30">
        <v>1199031</v>
      </c>
      <c r="B17" s="10" t="s">
        <v>1971</v>
      </c>
      <c r="C17" s="74" t="s">
        <v>2038</v>
      </c>
      <c r="D17" s="75" t="s">
        <v>2039</v>
      </c>
      <c r="E17" s="76" t="s">
        <v>1974</v>
      </c>
      <c r="F17" s="76" t="s">
        <v>2040</v>
      </c>
      <c r="G17" s="80" t="s">
        <v>2036</v>
      </c>
      <c r="H17" s="75" t="s">
        <v>1977</v>
      </c>
      <c r="I17" s="78" t="s">
        <v>1977</v>
      </c>
      <c r="J17" s="74" t="s">
        <v>19</v>
      </c>
      <c r="K17" s="74" t="s">
        <v>74</v>
      </c>
      <c r="L17" s="74" t="s">
        <v>2037</v>
      </c>
      <c r="M17" s="75" t="s">
        <v>76</v>
      </c>
      <c r="N17" s="75" t="s">
        <v>23</v>
      </c>
      <c r="O17" s="79" t="s">
        <v>23</v>
      </c>
      <c r="Q17" s="10" t="s">
        <v>2032</v>
      </c>
    </row>
    <row r="18" spans="1:17" ht="14.25" customHeight="1" x14ac:dyDescent="0.25">
      <c r="A18" s="30">
        <v>1199032</v>
      </c>
      <c r="B18" s="10" t="s">
        <v>1971</v>
      </c>
      <c r="C18" s="74" t="s">
        <v>2041</v>
      </c>
      <c r="D18" s="75" t="s">
        <v>2039</v>
      </c>
      <c r="E18" s="76" t="s">
        <v>1974</v>
      </c>
      <c r="F18" s="76" t="s">
        <v>2042</v>
      </c>
      <c r="G18" s="80" t="s">
        <v>2036</v>
      </c>
      <c r="H18" s="75" t="s">
        <v>1977</v>
      </c>
      <c r="I18" s="78" t="s">
        <v>1977</v>
      </c>
      <c r="J18" s="74" t="s">
        <v>19</v>
      </c>
      <c r="K18" s="74" t="s">
        <v>74</v>
      </c>
      <c r="L18" s="74" t="s">
        <v>2037</v>
      </c>
      <c r="M18" s="75" t="s">
        <v>76</v>
      </c>
      <c r="N18" s="75" t="s">
        <v>23</v>
      </c>
      <c r="O18" s="79" t="s">
        <v>23</v>
      </c>
      <c r="Q18" s="10" t="s">
        <v>2032</v>
      </c>
    </row>
    <row r="19" spans="1:17" ht="14.25" customHeight="1" x14ac:dyDescent="0.25">
      <c r="A19" s="30">
        <v>1199033</v>
      </c>
      <c r="B19" s="10" t="s">
        <v>1971</v>
      </c>
      <c r="C19" s="74" t="s">
        <v>2043</v>
      </c>
      <c r="D19" s="75" t="s">
        <v>2044</v>
      </c>
      <c r="E19" s="76" t="s">
        <v>1974</v>
      </c>
      <c r="F19" s="76" t="s">
        <v>2045</v>
      </c>
      <c r="G19" s="80" t="s">
        <v>2036</v>
      </c>
      <c r="H19" s="75" t="s">
        <v>1977</v>
      </c>
      <c r="I19" s="78" t="s">
        <v>1977</v>
      </c>
      <c r="J19" s="74" t="s">
        <v>19</v>
      </c>
      <c r="K19" s="74" t="s">
        <v>74</v>
      </c>
      <c r="L19" s="74" t="s">
        <v>2037</v>
      </c>
      <c r="M19" s="75" t="s">
        <v>76</v>
      </c>
      <c r="N19" s="75" t="s">
        <v>23</v>
      </c>
      <c r="O19" s="79" t="s">
        <v>23</v>
      </c>
      <c r="Q19" s="10" t="s">
        <v>2032</v>
      </c>
    </row>
    <row r="20" spans="1:17" ht="14.25" customHeight="1" x14ac:dyDescent="0.25">
      <c r="A20" s="30">
        <v>1199034</v>
      </c>
      <c r="B20" s="10" t="s">
        <v>1971</v>
      </c>
      <c r="C20" s="74" t="s">
        <v>2046</v>
      </c>
      <c r="D20" s="75" t="s">
        <v>2047</v>
      </c>
      <c r="E20" s="76" t="s">
        <v>1974</v>
      </c>
      <c r="F20" s="76" t="s">
        <v>2048</v>
      </c>
      <c r="G20" s="80" t="s">
        <v>2036</v>
      </c>
      <c r="H20" s="75" t="s">
        <v>1977</v>
      </c>
      <c r="I20" s="78" t="s">
        <v>1977</v>
      </c>
      <c r="J20" s="74" t="s">
        <v>19</v>
      </c>
      <c r="K20" s="74" t="s">
        <v>74</v>
      </c>
      <c r="L20" s="74" t="s">
        <v>2037</v>
      </c>
      <c r="M20" s="75" t="s">
        <v>76</v>
      </c>
      <c r="N20" s="75" t="s">
        <v>23</v>
      </c>
      <c r="O20" s="79" t="s">
        <v>23</v>
      </c>
      <c r="Q20" s="10" t="s">
        <v>2032</v>
      </c>
    </row>
    <row r="21" spans="1:17" ht="14.25" customHeight="1" x14ac:dyDescent="0.25">
      <c r="A21" s="30">
        <v>1199035</v>
      </c>
      <c r="B21" s="10" t="s">
        <v>1971</v>
      </c>
      <c r="C21" s="74" t="s">
        <v>2049</v>
      </c>
      <c r="D21" s="75" t="s">
        <v>2050</v>
      </c>
      <c r="E21" s="76" t="s">
        <v>1974</v>
      </c>
      <c r="F21" s="76" t="s">
        <v>2051</v>
      </c>
      <c r="G21" s="80" t="s">
        <v>2036</v>
      </c>
      <c r="H21" s="75" t="s">
        <v>1977</v>
      </c>
      <c r="I21" s="78" t="s">
        <v>1977</v>
      </c>
      <c r="J21" s="74" t="s">
        <v>19</v>
      </c>
      <c r="K21" s="74" t="s">
        <v>74</v>
      </c>
      <c r="L21" s="74" t="s">
        <v>2037</v>
      </c>
      <c r="M21" s="75" t="s">
        <v>76</v>
      </c>
      <c r="N21" s="75" t="s">
        <v>23</v>
      </c>
      <c r="O21" s="79" t="s">
        <v>23</v>
      </c>
      <c r="Q21" s="10" t="s">
        <v>2032</v>
      </c>
    </row>
    <row r="22" spans="1:17" ht="14.25" customHeight="1" x14ac:dyDescent="0.25">
      <c r="A22" s="30">
        <v>1199036</v>
      </c>
      <c r="B22" s="10" t="s">
        <v>1971</v>
      </c>
      <c r="C22" s="74" t="s">
        <v>2052</v>
      </c>
      <c r="D22" s="75" t="s">
        <v>2053</v>
      </c>
      <c r="E22" s="76" t="s">
        <v>1974</v>
      </c>
      <c r="F22" s="76" t="s">
        <v>2054</v>
      </c>
      <c r="G22" s="80" t="s">
        <v>2036</v>
      </c>
      <c r="H22" s="75" t="s">
        <v>1977</v>
      </c>
      <c r="I22" s="78" t="s">
        <v>1977</v>
      </c>
      <c r="J22" s="74" t="s">
        <v>19</v>
      </c>
      <c r="K22" s="74" t="s">
        <v>74</v>
      </c>
      <c r="L22" s="74" t="s">
        <v>2037</v>
      </c>
      <c r="M22" s="75" t="s">
        <v>76</v>
      </c>
      <c r="N22" s="75" t="s">
        <v>23</v>
      </c>
      <c r="O22" s="79" t="s">
        <v>23</v>
      </c>
      <c r="Q22" s="10" t="s">
        <v>2032</v>
      </c>
    </row>
    <row r="23" spans="1:17" ht="14.25" customHeight="1" x14ac:dyDescent="0.25">
      <c r="A23" s="30">
        <v>1199037</v>
      </c>
      <c r="B23" s="10" t="s">
        <v>1971</v>
      </c>
      <c r="C23" s="74" t="s">
        <v>2055</v>
      </c>
      <c r="D23" s="75" t="s">
        <v>2056</v>
      </c>
      <c r="E23" s="76" t="s">
        <v>1974</v>
      </c>
      <c r="F23" s="76" t="s">
        <v>2057</v>
      </c>
      <c r="G23" s="80" t="s">
        <v>2036</v>
      </c>
      <c r="H23" s="75" t="s">
        <v>1977</v>
      </c>
      <c r="I23" s="78" t="s">
        <v>1977</v>
      </c>
      <c r="J23" s="74" t="s">
        <v>19</v>
      </c>
      <c r="K23" s="74" t="s">
        <v>74</v>
      </c>
      <c r="L23" s="74" t="s">
        <v>2037</v>
      </c>
      <c r="M23" s="75" t="s">
        <v>76</v>
      </c>
      <c r="N23" s="75" t="s">
        <v>23</v>
      </c>
      <c r="O23" s="79" t="s">
        <v>23</v>
      </c>
      <c r="Q23" s="10" t="s">
        <v>2032</v>
      </c>
    </row>
    <row r="24" spans="1:17" ht="14.25" customHeight="1" x14ac:dyDescent="0.25">
      <c r="A24" s="30">
        <v>1199038</v>
      </c>
      <c r="B24" s="10" t="s">
        <v>1971</v>
      </c>
      <c r="C24" s="74" t="s">
        <v>2058</v>
      </c>
      <c r="D24" s="75" t="s">
        <v>2059</v>
      </c>
      <c r="E24" s="76" t="s">
        <v>1974</v>
      </c>
      <c r="F24" s="76" t="s">
        <v>2060</v>
      </c>
      <c r="G24" s="80" t="s">
        <v>2036</v>
      </c>
      <c r="H24" s="75" t="s">
        <v>1977</v>
      </c>
      <c r="I24" s="78" t="s">
        <v>1977</v>
      </c>
      <c r="J24" s="74" t="s">
        <v>19</v>
      </c>
      <c r="K24" s="74" t="s">
        <v>74</v>
      </c>
      <c r="L24" s="74" t="s">
        <v>2037</v>
      </c>
      <c r="M24" s="75" t="s">
        <v>76</v>
      </c>
      <c r="N24" s="75" t="s">
        <v>23</v>
      </c>
      <c r="O24" s="79" t="s">
        <v>23</v>
      </c>
      <c r="Q24" s="10" t="s">
        <v>2032</v>
      </c>
    </row>
    <row r="25" spans="1:17" ht="14.25" customHeight="1" x14ac:dyDescent="0.25">
      <c r="A25" s="30">
        <v>1199039</v>
      </c>
      <c r="B25" s="10" t="s">
        <v>1971</v>
      </c>
      <c r="C25" s="74" t="s">
        <v>2061</v>
      </c>
      <c r="D25" s="75" t="s">
        <v>2062</v>
      </c>
      <c r="E25" s="76" t="s">
        <v>1974</v>
      </c>
      <c r="F25" s="76" t="s">
        <v>2063</v>
      </c>
      <c r="G25" s="80" t="s">
        <v>2036</v>
      </c>
      <c r="H25" s="75" t="s">
        <v>1977</v>
      </c>
      <c r="I25" s="78" t="s">
        <v>1977</v>
      </c>
      <c r="J25" s="74" t="s">
        <v>19</v>
      </c>
      <c r="K25" s="74" t="s">
        <v>74</v>
      </c>
      <c r="L25" s="74" t="s">
        <v>2037</v>
      </c>
      <c r="M25" s="75" t="s">
        <v>76</v>
      </c>
      <c r="N25" s="75" t="s">
        <v>23</v>
      </c>
      <c r="O25" s="79" t="s">
        <v>23</v>
      </c>
      <c r="Q25" s="10" t="s">
        <v>2032</v>
      </c>
    </row>
    <row r="26" spans="1:17" ht="14.25" customHeight="1" x14ac:dyDescent="0.25">
      <c r="A26" s="30">
        <v>1199040</v>
      </c>
      <c r="B26" s="10" t="s">
        <v>1971</v>
      </c>
      <c r="C26" s="74" t="s">
        <v>2064</v>
      </c>
      <c r="D26" s="75" t="s">
        <v>2065</v>
      </c>
      <c r="E26" s="76" t="s">
        <v>1974</v>
      </c>
      <c r="F26" s="76" t="s">
        <v>2066</v>
      </c>
      <c r="G26" s="80" t="s">
        <v>2036</v>
      </c>
      <c r="H26" s="75" t="s">
        <v>1977</v>
      </c>
      <c r="I26" s="78" t="s">
        <v>1977</v>
      </c>
      <c r="J26" s="74" t="s">
        <v>19</v>
      </c>
      <c r="K26" s="74" t="s">
        <v>74</v>
      </c>
      <c r="L26" s="74" t="s">
        <v>2037</v>
      </c>
      <c r="M26" s="75" t="s">
        <v>76</v>
      </c>
      <c r="N26" s="75" t="s">
        <v>23</v>
      </c>
      <c r="O26" s="79" t="s">
        <v>23</v>
      </c>
      <c r="Q26" s="10" t="s">
        <v>2032</v>
      </c>
    </row>
    <row r="27" spans="1:17" ht="14.25" customHeight="1" x14ac:dyDescent="0.25">
      <c r="A27" s="30">
        <v>1199041</v>
      </c>
      <c r="B27" s="10" t="s">
        <v>1971</v>
      </c>
      <c r="C27" s="74" t="s">
        <v>2067</v>
      </c>
      <c r="D27" s="75" t="s">
        <v>2068</v>
      </c>
      <c r="E27" s="76" t="s">
        <v>1974</v>
      </c>
      <c r="F27" s="76" t="s">
        <v>2069</v>
      </c>
      <c r="G27" s="80" t="s">
        <v>2036</v>
      </c>
      <c r="H27" s="75" t="s">
        <v>1977</v>
      </c>
      <c r="I27" s="78" t="s">
        <v>1977</v>
      </c>
      <c r="J27" s="74" t="s">
        <v>19</v>
      </c>
      <c r="K27" s="74" t="s">
        <v>74</v>
      </c>
      <c r="L27" s="74" t="s">
        <v>2037</v>
      </c>
      <c r="M27" s="75" t="s">
        <v>76</v>
      </c>
      <c r="N27" s="75" t="s">
        <v>23</v>
      </c>
      <c r="O27" s="79" t="s">
        <v>23</v>
      </c>
      <c r="Q27" s="10" t="s">
        <v>2032</v>
      </c>
    </row>
    <row r="28" spans="1:17" ht="14.25" customHeight="1" x14ac:dyDescent="0.25">
      <c r="A28" s="30">
        <v>1199042</v>
      </c>
      <c r="B28" s="10" t="s">
        <v>1971</v>
      </c>
      <c r="C28" s="74" t="s">
        <v>2070</v>
      </c>
      <c r="D28" s="75" t="s">
        <v>2071</v>
      </c>
      <c r="E28" s="76" t="s">
        <v>1974</v>
      </c>
      <c r="F28" s="76" t="s">
        <v>2072</v>
      </c>
      <c r="G28" s="80" t="s">
        <v>2073</v>
      </c>
      <c r="H28" s="75" t="s">
        <v>1977</v>
      </c>
      <c r="I28" s="78" t="s">
        <v>1977</v>
      </c>
      <c r="J28" s="74" t="s">
        <v>19</v>
      </c>
      <c r="K28" s="74" t="s">
        <v>74</v>
      </c>
      <c r="L28" s="74" t="s">
        <v>2074</v>
      </c>
      <c r="M28" s="75" t="s">
        <v>76</v>
      </c>
      <c r="N28" s="75" t="s">
        <v>23</v>
      </c>
      <c r="O28" s="79" t="s">
        <v>23</v>
      </c>
      <c r="Q28" s="10" t="s">
        <v>2032</v>
      </c>
    </row>
    <row r="29" spans="1:17" ht="14.25" customHeight="1" x14ac:dyDescent="0.25">
      <c r="A29" s="30">
        <v>1199043</v>
      </c>
      <c r="B29" s="10" t="s">
        <v>1971</v>
      </c>
      <c r="C29" s="74" t="s">
        <v>2075</v>
      </c>
      <c r="D29" s="75" t="s">
        <v>2076</v>
      </c>
      <c r="E29" s="76" t="s">
        <v>1974</v>
      </c>
      <c r="F29" s="76" t="s">
        <v>2072</v>
      </c>
      <c r="G29" s="80" t="s">
        <v>2077</v>
      </c>
      <c r="H29" s="75" t="s">
        <v>1977</v>
      </c>
      <c r="I29" s="78" t="s">
        <v>1977</v>
      </c>
      <c r="J29" s="74" t="s">
        <v>19</v>
      </c>
      <c r="K29" s="74" t="s">
        <v>74</v>
      </c>
      <c r="L29" s="74" t="s">
        <v>2074</v>
      </c>
      <c r="M29" s="75" t="s">
        <v>76</v>
      </c>
      <c r="N29" s="75" t="s">
        <v>23</v>
      </c>
      <c r="O29" s="79" t="s">
        <v>23</v>
      </c>
      <c r="Q29" s="10" t="s">
        <v>2032</v>
      </c>
    </row>
    <row r="30" spans="1:17" ht="14.25" customHeight="1" x14ac:dyDescent="0.25">
      <c r="A30" s="30">
        <v>1199044</v>
      </c>
      <c r="B30" s="10" t="s">
        <v>1971</v>
      </c>
      <c r="C30" s="74" t="s">
        <v>2078</v>
      </c>
      <c r="D30" s="75" t="s">
        <v>2079</v>
      </c>
      <c r="E30" s="76" t="s">
        <v>1974</v>
      </c>
      <c r="F30" s="76" t="s">
        <v>2072</v>
      </c>
      <c r="G30" s="80" t="s">
        <v>2080</v>
      </c>
      <c r="H30" s="75" t="s">
        <v>1977</v>
      </c>
      <c r="I30" s="78" t="s">
        <v>1977</v>
      </c>
      <c r="J30" s="74" t="s">
        <v>19</v>
      </c>
      <c r="K30" s="74" t="s">
        <v>74</v>
      </c>
      <c r="L30" s="74" t="s">
        <v>2081</v>
      </c>
      <c r="M30" s="75" t="s">
        <v>76</v>
      </c>
      <c r="N30" s="75" t="s">
        <v>23</v>
      </c>
      <c r="O30" s="79" t="s">
        <v>23</v>
      </c>
      <c r="Q30" s="10" t="s">
        <v>491</v>
      </c>
    </row>
    <row r="31" spans="1:17" ht="14.25" customHeight="1" x14ac:dyDescent="0.25">
      <c r="A31" s="30">
        <v>1199045</v>
      </c>
      <c r="B31" s="10" t="s">
        <v>1971</v>
      </c>
      <c r="C31" s="74" t="s">
        <v>2082</v>
      </c>
      <c r="D31" s="75" t="s">
        <v>2083</v>
      </c>
      <c r="E31" s="76" t="s">
        <v>1974</v>
      </c>
      <c r="F31" s="76" t="s">
        <v>2084</v>
      </c>
      <c r="G31" s="80" t="s">
        <v>2085</v>
      </c>
      <c r="H31" s="75" t="s">
        <v>1977</v>
      </c>
      <c r="I31" s="78" t="s">
        <v>1977</v>
      </c>
      <c r="J31" s="74" t="s">
        <v>103</v>
      </c>
      <c r="K31" s="74" t="s">
        <v>74</v>
      </c>
      <c r="L31" s="74" t="s">
        <v>2086</v>
      </c>
      <c r="M31" s="75" t="s">
        <v>113</v>
      </c>
      <c r="N31" s="75" t="s">
        <v>23</v>
      </c>
      <c r="O31" s="79" t="s">
        <v>23</v>
      </c>
      <c r="Q31" s="10" t="s">
        <v>2032</v>
      </c>
    </row>
    <row r="32" spans="1:17" ht="14.25" customHeight="1" x14ac:dyDescent="0.25">
      <c r="A32" s="30">
        <v>1199046</v>
      </c>
      <c r="B32" s="10" t="s">
        <v>1971</v>
      </c>
      <c r="C32" s="74" t="s">
        <v>2087</v>
      </c>
      <c r="D32" s="75" t="s">
        <v>2088</v>
      </c>
      <c r="E32" s="76" t="s">
        <v>1974</v>
      </c>
      <c r="F32" s="76" t="s">
        <v>2089</v>
      </c>
      <c r="G32" s="80" t="s">
        <v>2090</v>
      </c>
      <c r="H32" s="75" t="s">
        <v>1977</v>
      </c>
      <c r="I32" s="78" t="s">
        <v>1977</v>
      </c>
      <c r="J32" s="74" t="s">
        <v>506</v>
      </c>
      <c r="K32" s="74" t="s">
        <v>74</v>
      </c>
      <c r="L32" s="74" t="s">
        <v>2086</v>
      </c>
      <c r="M32" s="75" t="s">
        <v>22</v>
      </c>
      <c r="N32" s="75" t="s">
        <v>23</v>
      </c>
      <c r="O32" s="79" t="s">
        <v>23</v>
      </c>
      <c r="Q32" s="10" t="s">
        <v>2032</v>
      </c>
    </row>
    <row r="33" spans="1:17" ht="14.25" customHeight="1" x14ac:dyDescent="0.25">
      <c r="A33" s="30">
        <v>1199047</v>
      </c>
      <c r="B33" s="10" t="s">
        <v>1971</v>
      </c>
      <c r="C33" s="74" t="s">
        <v>2091</v>
      </c>
      <c r="D33" s="75" t="s">
        <v>2092</v>
      </c>
      <c r="E33" s="76" t="s">
        <v>1974</v>
      </c>
      <c r="F33" s="76" t="s">
        <v>2093</v>
      </c>
      <c r="G33" s="80" t="s">
        <v>2094</v>
      </c>
      <c r="H33" s="75" t="s">
        <v>1977</v>
      </c>
      <c r="I33" s="78" t="s">
        <v>1977</v>
      </c>
      <c r="J33" s="74" t="s">
        <v>19</v>
      </c>
      <c r="K33" s="74" t="s">
        <v>74</v>
      </c>
      <c r="L33" s="74" t="s">
        <v>2095</v>
      </c>
      <c r="M33" s="75" t="s">
        <v>76</v>
      </c>
      <c r="N33" s="75" t="s">
        <v>23</v>
      </c>
      <c r="O33" s="79" t="s">
        <v>23</v>
      </c>
      <c r="Q33" s="10" t="s">
        <v>2032</v>
      </c>
    </row>
    <row r="34" spans="1:17" ht="14.25" customHeight="1" x14ac:dyDescent="0.25">
      <c r="A34" s="30">
        <v>1199048</v>
      </c>
      <c r="B34" s="10" t="s">
        <v>1971</v>
      </c>
      <c r="C34" s="74" t="s">
        <v>2096</v>
      </c>
      <c r="D34" s="75" t="s">
        <v>2097</v>
      </c>
      <c r="E34" s="76" t="s">
        <v>1974</v>
      </c>
      <c r="F34" s="76" t="s">
        <v>2093</v>
      </c>
      <c r="G34" s="80" t="s">
        <v>2098</v>
      </c>
      <c r="H34" s="75" t="s">
        <v>1977</v>
      </c>
      <c r="I34" s="78" t="s">
        <v>1977</v>
      </c>
      <c r="J34" s="74" t="s">
        <v>19</v>
      </c>
      <c r="K34" s="74" t="s">
        <v>74</v>
      </c>
      <c r="L34" s="74" t="s">
        <v>2099</v>
      </c>
      <c r="M34" s="75" t="s">
        <v>76</v>
      </c>
      <c r="N34" s="75" t="s">
        <v>23</v>
      </c>
      <c r="O34" s="79" t="s">
        <v>23</v>
      </c>
      <c r="Q34" s="10" t="s">
        <v>2032</v>
      </c>
    </row>
    <row r="35" spans="1:17" ht="14.25" customHeight="1" x14ac:dyDescent="0.25">
      <c r="A35" s="30">
        <v>1199049</v>
      </c>
      <c r="B35" s="10" t="s">
        <v>1971</v>
      </c>
      <c r="C35" s="74" t="s">
        <v>2100</v>
      </c>
      <c r="D35" s="75" t="s">
        <v>2101</v>
      </c>
      <c r="E35" s="76" t="s">
        <v>1974</v>
      </c>
      <c r="F35" s="76" t="s">
        <v>2093</v>
      </c>
      <c r="G35" s="80" t="s">
        <v>2102</v>
      </c>
      <c r="H35" s="75" t="s">
        <v>1977</v>
      </c>
      <c r="I35" s="78" t="s">
        <v>1977</v>
      </c>
      <c r="J35" s="74" t="s">
        <v>19</v>
      </c>
      <c r="K35" s="74" t="s">
        <v>74</v>
      </c>
      <c r="L35" s="74" t="s">
        <v>2103</v>
      </c>
      <c r="M35" s="75" t="s">
        <v>76</v>
      </c>
      <c r="N35" s="75" t="s">
        <v>23</v>
      </c>
      <c r="O35" s="79" t="s">
        <v>23</v>
      </c>
      <c r="Q35" s="10" t="s">
        <v>2032</v>
      </c>
    </row>
    <row r="36" spans="1:17" ht="14.25" customHeight="1" x14ac:dyDescent="0.25">
      <c r="A36" s="30">
        <v>1199050</v>
      </c>
      <c r="B36" s="10" t="s">
        <v>1971</v>
      </c>
      <c r="C36" s="74" t="s">
        <v>2104</v>
      </c>
      <c r="D36" s="75" t="s">
        <v>2105</v>
      </c>
      <c r="E36" s="76" t="s">
        <v>1974</v>
      </c>
      <c r="F36" s="76" t="s">
        <v>2093</v>
      </c>
      <c r="G36" s="80" t="s">
        <v>2106</v>
      </c>
      <c r="H36" s="75" t="s">
        <v>1977</v>
      </c>
      <c r="I36" s="78" t="s">
        <v>1977</v>
      </c>
      <c r="J36" s="74" t="s">
        <v>19</v>
      </c>
      <c r="K36" s="74" t="s">
        <v>74</v>
      </c>
      <c r="L36" s="74" t="s">
        <v>2107</v>
      </c>
      <c r="M36" s="75" t="s">
        <v>76</v>
      </c>
      <c r="N36" s="75" t="s">
        <v>23</v>
      </c>
      <c r="O36" s="79" t="s">
        <v>23</v>
      </c>
      <c r="Q36" s="10" t="s">
        <v>2032</v>
      </c>
    </row>
    <row r="37" spans="1:17" ht="14.25" customHeight="1" x14ac:dyDescent="0.25">
      <c r="A37" s="30">
        <v>1199051</v>
      </c>
      <c r="B37" s="10" t="s">
        <v>1971</v>
      </c>
      <c r="C37" s="74" t="s">
        <v>2108</v>
      </c>
      <c r="D37" s="75" t="s">
        <v>2109</v>
      </c>
      <c r="E37" s="76" t="s">
        <v>1974</v>
      </c>
      <c r="F37" s="76" t="s">
        <v>2093</v>
      </c>
      <c r="G37" s="80" t="s">
        <v>2110</v>
      </c>
      <c r="H37" s="75" t="s">
        <v>1977</v>
      </c>
      <c r="I37" s="78" t="s">
        <v>1977</v>
      </c>
      <c r="J37" s="74" t="s">
        <v>19</v>
      </c>
      <c r="K37" s="74" t="s">
        <v>74</v>
      </c>
      <c r="L37" s="74" t="s">
        <v>2107</v>
      </c>
      <c r="M37" s="75" t="s">
        <v>76</v>
      </c>
      <c r="N37" s="75" t="s">
        <v>23</v>
      </c>
      <c r="O37" s="79" t="s">
        <v>23</v>
      </c>
      <c r="Q37" s="10" t="s">
        <v>2032</v>
      </c>
    </row>
    <row r="38" spans="1:17" ht="14.25" customHeight="1" x14ac:dyDescent="0.25">
      <c r="A38" s="30">
        <v>1199052</v>
      </c>
      <c r="B38" s="10" t="s">
        <v>1971</v>
      </c>
      <c r="C38" s="74" t="s">
        <v>2111</v>
      </c>
      <c r="D38" s="75" t="s">
        <v>2112</v>
      </c>
      <c r="E38" s="76" t="s">
        <v>2113</v>
      </c>
      <c r="F38" s="76" t="s">
        <v>2114</v>
      </c>
      <c r="G38" s="80" t="s">
        <v>2115</v>
      </c>
      <c r="H38" s="75" t="s">
        <v>1977</v>
      </c>
      <c r="I38" s="78" t="s">
        <v>1977</v>
      </c>
      <c r="J38" s="74" t="s">
        <v>103</v>
      </c>
      <c r="K38" s="74" t="s">
        <v>74</v>
      </c>
      <c r="L38" s="74" t="s">
        <v>2107</v>
      </c>
      <c r="M38" s="75" t="s">
        <v>113</v>
      </c>
      <c r="N38" s="75" t="s">
        <v>23</v>
      </c>
      <c r="O38" s="79" t="s">
        <v>23</v>
      </c>
      <c r="Q38" s="10" t="s">
        <v>2032</v>
      </c>
    </row>
    <row r="39" spans="1:17" ht="14.25" customHeight="1" x14ac:dyDescent="0.25">
      <c r="A39" s="30">
        <v>1199053</v>
      </c>
      <c r="B39" s="10" t="s">
        <v>1971</v>
      </c>
      <c r="C39" s="74" t="s">
        <v>2116</v>
      </c>
      <c r="D39" s="75" t="s">
        <v>2117</v>
      </c>
      <c r="E39" s="76" t="s">
        <v>1974</v>
      </c>
      <c r="F39" s="76" t="s">
        <v>2093</v>
      </c>
      <c r="G39" s="80" t="s">
        <v>2118</v>
      </c>
      <c r="H39" s="75" t="s">
        <v>1977</v>
      </c>
      <c r="I39" s="78" t="s">
        <v>1977</v>
      </c>
      <c r="J39" s="74" t="s">
        <v>19</v>
      </c>
      <c r="K39" s="74" t="s">
        <v>74</v>
      </c>
      <c r="L39" s="74" t="s">
        <v>2119</v>
      </c>
      <c r="M39" s="75" t="s">
        <v>76</v>
      </c>
      <c r="N39" s="75" t="s">
        <v>23</v>
      </c>
      <c r="O39" s="79" t="s">
        <v>23</v>
      </c>
      <c r="Q39" s="10" t="s">
        <v>2032</v>
      </c>
    </row>
    <row r="40" spans="1:17" ht="14.25" customHeight="1" x14ac:dyDescent="0.25">
      <c r="A40" s="30">
        <v>1199054</v>
      </c>
      <c r="B40" s="10" t="s">
        <v>1971</v>
      </c>
      <c r="C40" s="74" t="s">
        <v>2120</v>
      </c>
      <c r="D40" s="75" t="s">
        <v>2121</v>
      </c>
      <c r="E40" s="76" t="s">
        <v>1974</v>
      </c>
      <c r="F40" s="76" t="s">
        <v>2093</v>
      </c>
      <c r="G40" s="80" t="s">
        <v>2122</v>
      </c>
      <c r="H40" s="75" t="s">
        <v>1977</v>
      </c>
      <c r="I40" s="78" t="s">
        <v>1977</v>
      </c>
      <c r="J40" s="74" t="s">
        <v>19</v>
      </c>
      <c r="K40" s="74" t="s">
        <v>74</v>
      </c>
      <c r="L40" s="74" t="s">
        <v>2123</v>
      </c>
      <c r="M40" s="75" t="s">
        <v>76</v>
      </c>
      <c r="N40" s="75" t="s">
        <v>23</v>
      </c>
      <c r="O40" s="79" t="s">
        <v>23</v>
      </c>
      <c r="Q40" s="10" t="s">
        <v>2032</v>
      </c>
    </row>
    <row r="41" spans="1:17" ht="14.25" customHeight="1" x14ac:dyDescent="0.25">
      <c r="A41" s="30">
        <v>1199055</v>
      </c>
      <c r="B41" s="10" t="s">
        <v>1971</v>
      </c>
      <c r="C41" s="74" t="s">
        <v>2124</v>
      </c>
      <c r="D41" s="75" t="s">
        <v>2125</v>
      </c>
      <c r="E41" s="76" t="s">
        <v>1974</v>
      </c>
      <c r="F41" s="76" t="s">
        <v>2093</v>
      </c>
      <c r="G41" s="80" t="s">
        <v>2126</v>
      </c>
      <c r="H41" s="75" t="s">
        <v>1977</v>
      </c>
      <c r="I41" s="78" t="s">
        <v>1977</v>
      </c>
      <c r="J41" s="74" t="s">
        <v>19</v>
      </c>
      <c r="K41" s="74" t="s">
        <v>74</v>
      </c>
      <c r="L41" s="74" t="s">
        <v>2127</v>
      </c>
      <c r="M41" s="75" t="s">
        <v>76</v>
      </c>
      <c r="N41" s="75" t="s">
        <v>23</v>
      </c>
      <c r="O41" s="79" t="s">
        <v>23</v>
      </c>
      <c r="Q41" s="10" t="s">
        <v>2032</v>
      </c>
    </row>
    <row r="42" spans="1:17" ht="14.25" customHeight="1" x14ac:dyDescent="0.25">
      <c r="A42" s="30">
        <v>1199056</v>
      </c>
      <c r="B42" s="10" t="s">
        <v>1971</v>
      </c>
      <c r="C42" s="74" t="s">
        <v>2128</v>
      </c>
      <c r="D42" s="75" t="s">
        <v>2129</v>
      </c>
      <c r="E42" s="76" t="s">
        <v>1974</v>
      </c>
      <c r="F42" s="76" t="s">
        <v>2093</v>
      </c>
      <c r="G42" s="80" t="s">
        <v>2130</v>
      </c>
      <c r="H42" s="75" t="s">
        <v>1977</v>
      </c>
      <c r="I42" s="78" t="s">
        <v>1977</v>
      </c>
      <c r="J42" s="74" t="s">
        <v>19</v>
      </c>
      <c r="K42" s="74" t="s">
        <v>74</v>
      </c>
      <c r="L42" s="74" t="s">
        <v>2131</v>
      </c>
      <c r="M42" s="75" t="s">
        <v>76</v>
      </c>
      <c r="N42" s="75" t="s">
        <v>23</v>
      </c>
      <c r="O42" s="79" t="s">
        <v>23</v>
      </c>
      <c r="Q42" s="10" t="s">
        <v>2032</v>
      </c>
    </row>
    <row r="43" spans="1:17" ht="45.75" customHeight="1" x14ac:dyDescent="0.25">
      <c r="A43" s="30">
        <v>1199057</v>
      </c>
      <c r="B43" s="10" t="s">
        <v>1971</v>
      </c>
      <c r="C43" s="81" t="s">
        <v>2132</v>
      </c>
      <c r="D43" s="88" t="s">
        <v>2133</v>
      </c>
      <c r="E43" s="99" t="s">
        <v>1974</v>
      </c>
      <c r="F43" s="99" t="s">
        <v>2134</v>
      </c>
      <c r="G43" s="82" t="s">
        <v>2135</v>
      </c>
      <c r="H43" s="88" t="s">
        <v>1977</v>
      </c>
      <c r="I43" s="88" t="s">
        <v>1977</v>
      </c>
      <c r="J43" s="81" t="s">
        <v>103</v>
      </c>
      <c r="K43" s="74" t="s">
        <v>74</v>
      </c>
      <c r="L43" s="81"/>
      <c r="M43" s="83" t="s">
        <v>113</v>
      </c>
      <c r="N43" s="88" t="s">
        <v>23</v>
      </c>
      <c r="O43" s="79" t="s">
        <v>23</v>
      </c>
      <c r="P43" s="81"/>
      <c r="Q43" s="84" t="s">
        <v>2032</v>
      </c>
    </row>
    <row r="44" spans="1:17" ht="45.75" customHeight="1" x14ac:dyDescent="0.25">
      <c r="A44" s="30">
        <v>1199058</v>
      </c>
      <c r="B44" s="10" t="s">
        <v>1971</v>
      </c>
      <c r="C44" s="81" t="s">
        <v>2136</v>
      </c>
      <c r="D44" s="88" t="s">
        <v>2137</v>
      </c>
      <c r="E44" s="99" t="s">
        <v>1974</v>
      </c>
      <c r="F44" s="99" t="s">
        <v>2138</v>
      </c>
      <c r="G44" s="82" t="s">
        <v>2135</v>
      </c>
      <c r="H44" s="88" t="s">
        <v>1977</v>
      </c>
      <c r="I44" s="88" t="s">
        <v>1977</v>
      </c>
      <c r="J44" s="81" t="s">
        <v>103</v>
      </c>
      <c r="K44" s="74" t="s">
        <v>74</v>
      </c>
      <c r="L44" s="81"/>
      <c r="M44" s="83" t="s">
        <v>113</v>
      </c>
      <c r="N44" s="88" t="s">
        <v>23</v>
      </c>
      <c r="O44" s="79" t="s">
        <v>23</v>
      </c>
      <c r="P44" s="81"/>
      <c r="Q44" s="84" t="s">
        <v>2032</v>
      </c>
    </row>
    <row r="45" spans="1:17" ht="45.75" customHeight="1" x14ac:dyDescent="0.25">
      <c r="A45" s="30">
        <v>1199059</v>
      </c>
      <c r="B45" s="10" t="s">
        <v>1971</v>
      </c>
      <c r="C45" s="81" t="s">
        <v>2139</v>
      </c>
      <c r="D45" s="88" t="s">
        <v>2140</v>
      </c>
      <c r="E45" s="99" t="s">
        <v>1974</v>
      </c>
      <c r="F45" s="99" t="s">
        <v>2141</v>
      </c>
      <c r="G45" s="82" t="s">
        <v>2142</v>
      </c>
      <c r="H45" s="88" t="s">
        <v>1977</v>
      </c>
      <c r="I45" s="88" t="s">
        <v>1977</v>
      </c>
      <c r="J45" s="81" t="s">
        <v>103</v>
      </c>
      <c r="K45" s="74" t="s">
        <v>74</v>
      </c>
      <c r="L45" s="81"/>
      <c r="M45" s="83" t="s">
        <v>113</v>
      </c>
      <c r="N45" s="88" t="s">
        <v>23</v>
      </c>
      <c r="O45" s="79" t="s">
        <v>23</v>
      </c>
      <c r="P45" s="81"/>
      <c r="Q45" s="84" t="s">
        <v>2032</v>
      </c>
    </row>
    <row r="46" spans="1:17" ht="45.75" customHeight="1" x14ac:dyDescent="0.25">
      <c r="A46" s="30">
        <v>1199060</v>
      </c>
      <c r="B46" s="10" t="s">
        <v>1971</v>
      </c>
      <c r="C46" s="81" t="s">
        <v>2143</v>
      </c>
      <c r="D46" s="88" t="s">
        <v>2144</v>
      </c>
      <c r="E46" s="99" t="s">
        <v>1974</v>
      </c>
      <c r="F46" s="99" t="s">
        <v>2145</v>
      </c>
      <c r="G46" s="82" t="s">
        <v>2142</v>
      </c>
      <c r="H46" s="88" t="s">
        <v>1977</v>
      </c>
      <c r="I46" s="88" t="s">
        <v>1977</v>
      </c>
      <c r="J46" s="81" t="s">
        <v>103</v>
      </c>
      <c r="K46" s="74" t="s">
        <v>74</v>
      </c>
      <c r="L46" s="81"/>
      <c r="M46" s="83" t="s">
        <v>113</v>
      </c>
      <c r="N46" s="88" t="s">
        <v>23</v>
      </c>
      <c r="O46" s="79" t="s">
        <v>23</v>
      </c>
      <c r="P46" s="81"/>
      <c r="Q46" s="84" t="s">
        <v>2032</v>
      </c>
    </row>
    <row r="47" spans="1:17" ht="45.75" customHeight="1" x14ac:dyDescent="0.25">
      <c r="A47" s="30">
        <v>1199061</v>
      </c>
      <c r="B47" s="10" t="s">
        <v>1971</v>
      </c>
      <c r="C47" s="81" t="s">
        <v>2146</v>
      </c>
      <c r="D47" s="88" t="s">
        <v>2147</v>
      </c>
      <c r="E47" s="99" t="s">
        <v>1974</v>
      </c>
      <c r="F47" s="99" t="s">
        <v>2148</v>
      </c>
      <c r="G47" s="82" t="s">
        <v>2142</v>
      </c>
      <c r="H47" s="88" t="s">
        <v>1977</v>
      </c>
      <c r="I47" s="88" t="s">
        <v>1977</v>
      </c>
      <c r="J47" s="81" t="s">
        <v>103</v>
      </c>
      <c r="K47" s="74" t="s">
        <v>74</v>
      </c>
      <c r="L47" s="81"/>
      <c r="M47" s="83" t="s">
        <v>113</v>
      </c>
      <c r="N47" s="88" t="s">
        <v>23</v>
      </c>
      <c r="O47" s="79" t="s">
        <v>23</v>
      </c>
      <c r="P47" s="81"/>
      <c r="Q47" s="84" t="s">
        <v>2032</v>
      </c>
    </row>
    <row r="48" spans="1:17" ht="45.75" customHeight="1" x14ac:dyDescent="0.25">
      <c r="A48" s="30">
        <v>1199062</v>
      </c>
      <c r="B48" s="10" t="s">
        <v>1971</v>
      </c>
      <c r="C48" s="81" t="s">
        <v>2149</v>
      </c>
      <c r="D48" s="88" t="s">
        <v>2150</v>
      </c>
      <c r="E48" s="99" t="s">
        <v>1974</v>
      </c>
      <c r="F48" s="99" t="s">
        <v>2151</v>
      </c>
      <c r="G48" s="82" t="s">
        <v>2142</v>
      </c>
      <c r="H48" s="88" t="s">
        <v>1977</v>
      </c>
      <c r="I48" s="88" t="s">
        <v>1977</v>
      </c>
      <c r="J48" s="81" t="s">
        <v>103</v>
      </c>
      <c r="K48" s="74" t="s">
        <v>74</v>
      </c>
      <c r="L48" s="81"/>
      <c r="M48" s="83" t="s">
        <v>113</v>
      </c>
      <c r="N48" s="88" t="s">
        <v>23</v>
      </c>
      <c r="O48" s="79" t="s">
        <v>23</v>
      </c>
      <c r="P48" s="81"/>
      <c r="Q48" s="84" t="s">
        <v>2032</v>
      </c>
    </row>
    <row r="49" spans="1:17" ht="77.25" customHeight="1" x14ac:dyDescent="0.25">
      <c r="A49" s="30">
        <v>1199063</v>
      </c>
      <c r="B49" s="10" t="s">
        <v>1971</v>
      </c>
      <c r="C49" s="81" t="s">
        <v>2152</v>
      </c>
      <c r="D49" s="88" t="s">
        <v>2153</v>
      </c>
      <c r="E49" s="99" t="s">
        <v>1974</v>
      </c>
      <c r="F49" s="99" t="s">
        <v>2154</v>
      </c>
      <c r="G49" s="85" t="s">
        <v>2155</v>
      </c>
      <c r="H49" s="88" t="s">
        <v>1977</v>
      </c>
      <c r="I49" s="88" t="s">
        <v>1977</v>
      </c>
      <c r="J49" s="81" t="s">
        <v>103</v>
      </c>
      <c r="K49" s="74" t="s">
        <v>74</v>
      </c>
      <c r="L49" s="81"/>
      <c r="M49" s="83" t="s">
        <v>113</v>
      </c>
      <c r="N49" s="88" t="s">
        <v>23</v>
      </c>
      <c r="O49" s="79" t="s">
        <v>23</v>
      </c>
      <c r="P49" s="81"/>
      <c r="Q49" s="84" t="s">
        <v>2032</v>
      </c>
    </row>
    <row r="50" spans="1:17" ht="77.25" customHeight="1" x14ac:dyDescent="0.25">
      <c r="A50" s="30">
        <v>1199064</v>
      </c>
      <c r="B50" s="10" t="s">
        <v>1971</v>
      </c>
      <c r="C50" s="81" t="s">
        <v>2156</v>
      </c>
      <c r="D50" s="88" t="s">
        <v>2157</v>
      </c>
      <c r="E50" s="99" t="s">
        <v>1974</v>
      </c>
      <c r="F50" s="99" t="s">
        <v>2158</v>
      </c>
      <c r="G50" s="85" t="s">
        <v>2159</v>
      </c>
      <c r="H50" s="88" t="s">
        <v>1977</v>
      </c>
      <c r="I50" s="88" t="s">
        <v>1977</v>
      </c>
      <c r="J50" s="81" t="s">
        <v>103</v>
      </c>
      <c r="K50" s="74" t="s">
        <v>74</v>
      </c>
      <c r="L50" s="81"/>
      <c r="M50" s="83" t="s">
        <v>113</v>
      </c>
      <c r="N50" s="88" t="s">
        <v>23</v>
      </c>
      <c r="O50" s="79" t="s">
        <v>23</v>
      </c>
      <c r="P50" s="81"/>
      <c r="Q50" s="84" t="s">
        <v>2032</v>
      </c>
    </row>
    <row r="51" spans="1:17" ht="45.75" customHeight="1" x14ac:dyDescent="0.25">
      <c r="A51" s="30">
        <v>1199065</v>
      </c>
      <c r="B51" s="10" t="s">
        <v>1971</v>
      </c>
      <c r="C51" s="81" t="s">
        <v>2160</v>
      </c>
      <c r="D51" s="86" t="s">
        <v>2161</v>
      </c>
      <c r="E51" s="99" t="s">
        <v>1974</v>
      </c>
      <c r="F51" s="99" t="s">
        <v>2162</v>
      </c>
      <c r="G51" s="82" t="s">
        <v>2163</v>
      </c>
      <c r="H51" s="88" t="s">
        <v>1977</v>
      </c>
      <c r="I51" s="88" t="s">
        <v>1977</v>
      </c>
      <c r="J51" s="81" t="s">
        <v>103</v>
      </c>
      <c r="K51" s="74" t="s">
        <v>74</v>
      </c>
      <c r="L51" s="81"/>
      <c r="M51" s="83" t="s">
        <v>113</v>
      </c>
      <c r="N51" s="88" t="s">
        <v>23</v>
      </c>
      <c r="O51" s="79" t="s">
        <v>23</v>
      </c>
      <c r="P51" s="81"/>
      <c r="Q51" s="84" t="s">
        <v>2032</v>
      </c>
    </row>
    <row r="52" spans="1:17" ht="45.75" customHeight="1" x14ac:dyDescent="0.25">
      <c r="A52" s="30">
        <v>1199066</v>
      </c>
      <c r="B52" s="10" t="s">
        <v>1971</v>
      </c>
      <c r="C52" s="81" t="s">
        <v>2164</v>
      </c>
      <c r="D52" s="86" t="s">
        <v>2165</v>
      </c>
      <c r="E52" s="99" t="s">
        <v>1974</v>
      </c>
      <c r="F52" s="99" t="s">
        <v>2166</v>
      </c>
      <c r="G52" s="82" t="s">
        <v>2142</v>
      </c>
      <c r="H52" s="88" t="s">
        <v>1977</v>
      </c>
      <c r="I52" s="88" t="s">
        <v>1977</v>
      </c>
      <c r="J52" s="81" t="s">
        <v>103</v>
      </c>
      <c r="K52" s="74" t="s">
        <v>74</v>
      </c>
      <c r="L52" s="81"/>
      <c r="M52" s="83" t="s">
        <v>113</v>
      </c>
      <c r="N52" s="88" t="s">
        <v>23</v>
      </c>
      <c r="O52" s="79" t="s">
        <v>23</v>
      </c>
      <c r="P52" s="81"/>
      <c r="Q52" s="84" t="s">
        <v>2032</v>
      </c>
    </row>
    <row r="53" spans="1:17" ht="45.75" customHeight="1" x14ac:dyDescent="0.25">
      <c r="A53" s="30">
        <v>1199067</v>
      </c>
      <c r="B53" s="10" t="s">
        <v>1971</v>
      </c>
      <c r="C53" s="81" t="s">
        <v>2167</v>
      </c>
      <c r="D53" s="86" t="s">
        <v>2168</v>
      </c>
      <c r="E53" s="99" t="s">
        <v>1974</v>
      </c>
      <c r="F53" s="99" t="s">
        <v>2169</v>
      </c>
      <c r="G53" s="82" t="s">
        <v>2170</v>
      </c>
      <c r="H53" s="88" t="s">
        <v>1977</v>
      </c>
      <c r="I53" s="88" t="s">
        <v>1977</v>
      </c>
      <c r="J53" s="81" t="s">
        <v>103</v>
      </c>
      <c r="K53" s="74" t="s">
        <v>74</v>
      </c>
      <c r="L53" s="81"/>
      <c r="M53" s="83" t="s">
        <v>113</v>
      </c>
      <c r="N53" s="88" t="s">
        <v>23</v>
      </c>
      <c r="O53" s="79" t="s">
        <v>23</v>
      </c>
      <c r="P53" s="81"/>
      <c r="Q53" s="84" t="s">
        <v>2032</v>
      </c>
    </row>
    <row r="54" spans="1:17" ht="45.75" customHeight="1" x14ac:dyDescent="0.25">
      <c r="A54" s="30">
        <v>1199068</v>
      </c>
      <c r="B54" s="10" t="s">
        <v>1971</v>
      </c>
      <c r="C54" s="81" t="s">
        <v>2171</v>
      </c>
      <c r="D54" s="86" t="s">
        <v>2172</v>
      </c>
      <c r="E54" s="99" t="s">
        <v>1974</v>
      </c>
      <c r="F54" s="99" t="s">
        <v>2173</v>
      </c>
      <c r="G54" s="82" t="s">
        <v>2170</v>
      </c>
      <c r="H54" s="88" t="s">
        <v>1977</v>
      </c>
      <c r="I54" s="88" t="s">
        <v>1977</v>
      </c>
      <c r="J54" s="81" t="s">
        <v>103</v>
      </c>
      <c r="K54" s="74" t="s">
        <v>74</v>
      </c>
      <c r="L54" s="81"/>
      <c r="M54" s="83" t="s">
        <v>113</v>
      </c>
      <c r="N54" s="88" t="s">
        <v>23</v>
      </c>
      <c r="O54" s="79" t="s">
        <v>23</v>
      </c>
      <c r="P54" s="81"/>
      <c r="Q54" s="84" t="s">
        <v>2032</v>
      </c>
    </row>
    <row r="55" spans="1:17" ht="45.75" customHeight="1" x14ac:dyDescent="0.25">
      <c r="A55" s="30">
        <v>1199069</v>
      </c>
      <c r="B55" s="10" t="s">
        <v>1971</v>
      </c>
      <c r="C55" s="81" t="s">
        <v>2174</v>
      </c>
      <c r="D55" s="88" t="s">
        <v>2175</v>
      </c>
      <c r="E55" s="99" t="s">
        <v>1974</v>
      </c>
      <c r="F55" s="99" t="s">
        <v>2176</v>
      </c>
      <c r="G55" s="82" t="s">
        <v>2177</v>
      </c>
      <c r="H55" s="88" t="s">
        <v>1977</v>
      </c>
      <c r="I55" s="88" t="s">
        <v>1977</v>
      </c>
      <c r="J55" s="81" t="s">
        <v>103</v>
      </c>
      <c r="K55" s="74" t="s">
        <v>74</v>
      </c>
      <c r="L55" s="81"/>
      <c r="M55" s="83" t="s">
        <v>113</v>
      </c>
      <c r="N55" s="88" t="s">
        <v>23</v>
      </c>
      <c r="O55" s="79" t="s">
        <v>23</v>
      </c>
      <c r="P55" s="81"/>
      <c r="Q55" s="84" t="s">
        <v>2032</v>
      </c>
    </row>
    <row r="56" spans="1:17" ht="77.25" customHeight="1" x14ac:dyDescent="0.25">
      <c r="A56" s="30">
        <v>1199070</v>
      </c>
      <c r="B56" s="10" t="s">
        <v>1971</v>
      </c>
      <c r="C56" s="81" t="s">
        <v>2178</v>
      </c>
      <c r="D56" s="88" t="s">
        <v>2179</v>
      </c>
      <c r="E56" s="99" t="s">
        <v>1974</v>
      </c>
      <c r="F56" s="99" t="s">
        <v>2180</v>
      </c>
      <c r="G56" s="82" t="s">
        <v>2177</v>
      </c>
      <c r="H56" s="88" t="s">
        <v>1977</v>
      </c>
      <c r="I56" s="88" t="s">
        <v>1977</v>
      </c>
      <c r="J56" s="81" t="s">
        <v>103</v>
      </c>
      <c r="K56" s="74" t="s">
        <v>74</v>
      </c>
      <c r="L56" s="81"/>
      <c r="M56" s="83" t="s">
        <v>113</v>
      </c>
      <c r="N56" s="88" t="s">
        <v>23</v>
      </c>
      <c r="O56" s="79" t="s">
        <v>23</v>
      </c>
      <c r="P56" s="81"/>
      <c r="Q56" s="84" t="s">
        <v>2032</v>
      </c>
    </row>
    <row r="57" spans="1:17" ht="61.5" customHeight="1" x14ac:dyDescent="0.25">
      <c r="A57" s="30">
        <v>1199071</v>
      </c>
      <c r="B57" s="10" t="s">
        <v>1971</v>
      </c>
      <c r="C57" s="81" t="s">
        <v>2181</v>
      </c>
      <c r="D57" s="88" t="s">
        <v>2182</v>
      </c>
      <c r="E57" s="99" t="s">
        <v>1974</v>
      </c>
      <c r="F57" s="99" t="s">
        <v>2183</v>
      </c>
      <c r="G57" s="82" t="s">
        <v>2184</v>
      </c>
      <c r="H57" s="88" t="s">
        <v>1977</v>
      </c>
      <c r="I57" s="88" t="s">
        <v>1977</v>
      </c>
      <c r="J57" s="81" t="s">
        <v>103</v>
      </c>
      <c r="K57" s="74" t="s">
        <v>74</v>
      </c>
      <c r="L57" s="81"/>
      <c r="M57" s="83" t="s">
        <v>113</v>
      </c>
      <c r="N57" s="88" t="s">
        <v>23</v>
      </c>
      <c r="O57" s="79" t="s">
        <v>23</v>
      </c>
      <c r="P57" s="81"/>
      <c r="Q57" s="84" t="s">
        <v>2032</v>
      </c>
    </row>
    <row r="58" spans="1:17" ht="61.5" customHeight="1" x14ac:dyDescent="0.25">
      <c r="A58" s="30">
        <v>1199072</v>
      </c>
      <c r="B58" s="10" t="s">
        <v>1971</v>
      </c>
      <c r="C58" s="81" t="s">
        <v>2185</v>
      </c>
      <c r="D58" s="88" t="s">
        <v>2186</v>
      </c>
      <c r="E58" s="99" t="s">
        <v>1974</v>
      </c>
      <c r="F58" s="99" t="s">
        <v>2187</v>
      </c>
      <c r="G58" s="82" t="s">
        <v>2188</v>
      </c>
      <c r="H58" s="88" t="s">
        <v>1977</v>
      </c>
      <c r="I58" s="88" t="s">
        <v>1977</v>
      </c>
      <c r="J58" s="81" t="s">
        <v>103</v>
      </c>
      <c r="K58" s="74" t="s">
        <v>74</v>
      </c>
      <c r="L58" s="81"/>
      <c r="M58" s="83" t="s">
        <v>113</v>
      </c>
      <c r="N58" s="88" t="s">
        <v>23</v>
      </c>
      <c r="O58" s="79" t="s">
        <v>23</v>
      </c>
      <c r="P58" s="81"/>
      <c r="Q58" s="84" t="s">
        <v>2032</v>
      </c>
    </row>
    <row r="59" spans="1:17" ht="77.25" customHeight="1" x14ac:dyDescent="0.25">
      <c r="A59" s="30">
        <v>1199073</v>
      </c>
      <c r="B59" s="10" t="s">
        <v>1971</v>
      </c>
      <c r="C59" s="81" t="s">
        <v>2189</v>
      </c>
      <c r="D59" s="88" t="s">
        <v>2190</v>
      </c>
      <c r="E59" s="99" t="s">
        <v>1974</v>
      </c>
      <c r="F59" s="99" t="s">
        <v>2191</v>
      </c>
      <c r="G59" s="82" t="s">
        <v>2188</v>
      </c>
      <c r="H59" s="88" t="s">
        <v>1977</v>
      </c>
      <c r="I59" s="88" t="s">
        <v>1977</v>
      </c>
      <c r="J59" s="81" t="s">
        <v>103</v>
      </c>
      <c r="K59" s="74" t="s">
        <v>74</v>
      </c>
      <c r="L59" s="81"/>
      <c r="M59" s="83" t="s">
        <v>113</v>
      </c>
      <c r="N59" s="88" t="s">
        <v>23</v>
      </c>
      <c r="O59" s="79" t="s">
        <v>23</v>
      </c>
      <c r="P59" s="81"/>
      <c r="Q59" s="84" t="s">
        <v>2032</v>
      </c>
    </row>
    <row r="60" spans="1:17" ht="61.5" customHeight="1" x14ac:dyDescent="0.25">
      <c r="A60" s="30">
        <v>1199074</v>
      </c>
      <c r="B60" s="10" t="s">
        <v>1971</v>
      </c>
      <c r="C60" s="81" t="s">
        <v>2192</v>
      </c>
      <c r="D60" s="88" t="s">
        <v>2193</v>
      </c>
      <c r="E60" s="99" t="s">
        <v>1974</v>
      </c>
      <c r="F60" s="99" t="s">
        <v>2194</v>
      </c>
      <c r="G60" s="82" t="s">
        <v>2184</v>
      </c>
      <c r="H60" s="88" t="s">
        <v>1977</v>
      </c>
      <c r="I60" s="88" t="s">
        <v>1977</v>
      </c>
      <c r="J60" s="81" t="s">
        <v>103</v>
      </c>
      <c r="K60" s="74" t="s">
        <v>74</v>
      </c>
      <c r="L60" s="81"/>
      <c r="M60" s="83" t="s">
        <v>113</v>
      </c>
      <c r="N60" s="88" t="s">
        <v>23</v>
      </c>
      <c r="O60" s="79" t="s">
        <v>23</v>
      </c>
      <c r="P60" s="81"/>
      <c r="Q60" s="84" t="s">
        <v>2032</v>
      </c>
    </row>
    <row r="61" spans="1:17" ht="45.75" customHeight="1" x14ac:dyDescent="0.25">
      <c r="A61" s="30">
        <v>1199075</v>
      </c>
      <c r="B61" s="10" t="s">
        <v>1971</v>
      </c>
      <c r="C61" s="81" t="s">
        <v>2195</v>
      </c>
      <c r="D61" s="88" t="s">
        <v>2196</v>
      </c>
      <c r="E61" s="99" t="s">
        <v>1974</v>
      </c>
      <c r="F61" s="99" t="s">
        <v>2197</v>
      </c>
      <c r="G61" s="82" t="s">
        <v>2177</v>
      </c>
      <c r="H61" s="88" t="s">
        <v>1977</v>
      </c>
      <c r="I61" s="88" t="s">
        <v>1977</v>
      </c>
      <c r="J61" s="81" t="s">
        <v>103</v>
      </c>
      <c r="K61" s="74" t="s">
        <v>74</v>
      </c>
      <c r="L61" s="81"/>
      <c r="M61" s="83" t="s">
        <v>113</v>
      </c>
      <c r="N61" s="88" t="s">
        <v>23</v>
      </c>
      <c r="O61" s="79" t="s">
        <v>23</v>
      </c>
      <c r="P61" s="81"/>
      <c r="Q61" s="84" t="s">
        <v>2032</v>
      </c>
    </row>
    <row r="62" spans="1:17" ht="77.25" customHeight="1" x14ac:dyDescent="0.25">
      <c r="A62" s="30">
        <v>1199076</v>
      </c>
      <c r="B62" s="10" t="s">
        <v>1971</v>
      </c>
      <c r="C62" s="81" t="s">
        <v>2198</v>
      </c>
      <c r="D62" s="88" t="s">
        <v>2199</v>
      </c>
      <c r="E62" s="99" t="s">
        <v>1974</v>
      </c>
      <c r="F62" s="99" t="s">
        <v>2200</v>
      </c>
      <c r="G62" s="82" t="s">
        <v>2177</v>
      </c>
      <c r="H62" s="88" t="s">
        <v>1977</v>
      </c>
      <c r="I62" s="88" t="s">
        <v>1977</v>
      </c>
      <c r="J62" s="81" t="s">
        <v>103</v>
      </c>
      <c r="K62" s="74" t="s">
        <v>74</v>
      </c>
      <c r="L62" s="81"/>
      <c r="M62" s="83" t="s">
        <v>113</v>
      </c>
      <c r="N62" s="88" t="s">
        <v>23</v>
      </c>
      <c r="O62" s="79" t="s">
        <v>23</v>
      </c>
      <c r="P62" s="81"/>
      <c r="Q62" s="84" t="s">
        <v>2032</v>
      </c>
    </row>
    <row r="63" spans="1:17" ht="61.5" customHeight="1" x14ac:dyDescent="0.25">
      <c r="A63" s="30">
        <v>1199077</v>
      </c>
      <c r="B63" s="10" t="s">
        <v>1971</v>
      </c>
      <c r="C63" s="81" t="s">
        <v>2201</v>
      </c>
      <c r="D63" s="88" t="s">
        <v>2202</v>
      </c>
      <c r="E63" s="99" t="s">
        <v>1974</v>
      </c>
      <c r="F63" s="99" t="s">
        <v>2203</v>
      </c>
      <c r="G63" s="82" t="s">
        <v>2184</v>
      </c>
      <c r="H63" s="88" t="s">
        <v>1977</v>
      </c>
      <c r="I63" s="88" t="s">
        <v>1977</v>
      </c>
      <c r="J63" s="81" t="s">
        <v>103</v>
      </c>
      <c r="K63" s="74" t="s">
        <v>74</v>
      </c>
      <c r="L63" s="81"/>
      <c r="M63" s="83" t="s">
        <v>113</v>
      </c>
      <c r="N63" s="88" t="s">
        <v>23</v>
      </c>
      <c r="O63" s="79" t="s">
        <v>23</v>
      </c>
      <c r="P63" s="81"/>
      <c r="Q63" s="84" t="s">
        <v>2032</v>
      </c>
    </row>
    <row r="64" spans="1:17" ht="108" customHeight="1" x14ac:dyDescent="0.25">
      <c r="A64" s="30">
        <v>1199078</v>
      </c>
      <c r="B64" s="10" t="s">
        <v>1971</v>
      </c>
      <c r="C64" s="81" t="s">
        <v>2204</v>
      </c>
      <c r="D64" s="88" t="s">
        <v>2205</v>
      </c>
      <c r="E64" s="99" t="s">
        <v>1974</v>
      </c>
      <c r="F64" s="99" t="s">
        <v>2206</v>
      </c>
      <c r="G64" s="82" t="s">
        <v>2207</v>
      </c>
      <c r="H64" s="88" t="s">
        <v>1977</v>
      </c>
      <c r="I64" s="88" t="s">
        <v>1977</v>
      </c>
      <c r="J64" s="81" t="s">
        <v>103</v>
      </c>
      <c r="K64" s="74" t="s">
        <v>74</v>
      </c>
      <c r="L64" s="81"/>
      <c r="M64" s="83" t="s">
        <v>113</v>
      </c>
      <c r="N64" s="88" t="s">
        <v>23</v>
      </c>
      <c r="O64" s="79" t="s">
        <v>23</v>
      </c>
      <c r="P64" s="81"/>
      <c r="Q64" s="84" t="s">
        <v>2032</v>
      </c>
    </row>
    <row r="65" spans="1:17" ht="93" customHeight="1" x14ac:dyDescent="0.25">
      <c r="A65" s="30">
        <v>1199079</v>
      </c>
      <c r="B65" s="10" t="s">
        <v>1971</v>
      </c>
      <c r="C65" s="81" t="s">
        <v>2208</v>
      </c>
      <c r="D65" s="88" t="s">
        <v>2209</v>
      </c>
      <c r="E65" s="99" t="s">
        <v>1974</v>
      </c>
      <c r="F65" s="99" t="s">
        <v>2210</v>
      </c>
      <c r="G65" s="82" t="s">
        <v>2211</v>
      </c>
      <c r="H65" s="88" t="s">
        <v>1977</v>
      </c>
      <c r="I65" s="88" t="s">
        <v>1977</v>
      </c>
      <c r="J65" s="81" t="s">
        <v>103</v>
      </c>
      <c r="K65" s="74" t="s">
        <v>74</v>
      </c>
      <c r="L65" s="81"/>
      <c r="M65" s="83" t="s">
        <v>113</v>
      </c>
      <c r="N65" s="88" t="s">
        <v>23</v>
      </c>
      <c r="O65" s="79" t="s">
        <v>23</v>
      </c>
      <c r="P65" s="81"/>
      <c r="Q65" s="84" t="s">
        <v>2032</v>
      </c>
    </row>
    <row r="66" spans="1:17" ht="93" customHeight="1" x14ac:dyDescent="0.25">
      <c r="A66" s="30">
        <v>1199080</v>
      </c>
      <c r="B66" s="10" t="s">
        <v>1971</v>
      </c>
      <c r="C66" s="81" t="s">
        <v>2212</v>
      </c>
      <c r="D66" s="88" t="s">
        <v>2213</v>
      </c>
      <c r="E66" s="99" t="s">
        <v>1974</v>
      </c>
      <c r="F66" s="99" t="s">
        <v>2214</v>
      </c>
      <c r="G66" s="82" t="s">
        <v>2215</v>
      </c>
      <c r="H66" s="88" t="s">
        <v>1977</v>
      </c>
      <c r="I66" s="88" t="s">
        <v>1977</v>
      </c>
      <c r="J66" s="81" t="s">
        <v>103</v>
      </c>
      <c r="K66" s="74" t="s">
        <v>74</v>
      </c>
      <c r="L66" s="81"/>
      <c r="M66" s="83" t="s">
        <v>113</v>
      </c>
      <c r="N66" s="88" t="s">
        <v>23</v>
      </c>
      <c r="O66" s="79" t="s">
        <v>23</v>
      </c>
      <c r="P66" s="81"/>
      <c r="Q66" s="84" t="s">
        <v>2032</v>
      </c>
    </row>
    <row r="67" spans="1:17" ht="77.25" customHeight="1" x14ac:dyDescent="0.25">
      <c r="A67" s="30">
        <v>1199081</v>
      </c>
      <c r="B67" s="10" t="s">
        <v>1971</v>
      </c>
      <c r="C67" s="81" t="s">
        <v>2216</v>
      </c>
      <c r="D67" s="88" t="s">
        <v>2217</v>
      </c>
      <c r="E67" s="99" t="s">
        <v>1974</v>
      </c>
      <c r="F67" s="99" t="s">
        <v>2218</v>
      </c>
      <c r="G67" s="82" t="s">
        <v>2211</v>
      </c>
      <c r="H67" s="88" t="s">
        <v>1977</v>
      </c>
      <c r="I67" s="88" t="s">
        <v>1977</v>
      </c>
      <c r="J67" s="81" t="s">
        <v>103</v>
      </c>
      <c r="K67" s="74" t="s">
        <v>74</v>
      </c>
      <c r="L67" s="81"/>
      <c r="M67" s="83" t="s">
        <v>113</v>
      </c>
      <c r="N67" s="88" t="s">
        <v>23</v>
      </c>
      <c r="O67" s="79" t="s">
        <v>23</v>
      </c>
      <c r="P67" s="81"/>
      <c r="Q67" s="84" t="s">
        <v>2032</v>
      </c>
    </row>
    <row r="68" spans="1:17" ht="77.25" customHeight="1" x14ac:dyDescent="0.25">
      <c r="A68" s="30">
        <v>1199082</v>
      </c>
      <c r="B68" s="10" t="s">
        <v>1971</v>
      </c>
      <c r="C68" s="81" t="s">
        <v>2219</v>
      </c>
      <c r="D68" s="88" t="s">
        <v>2220</v>
      </c>
      <c r="E68" s="99" t="s">
        <v>1974</v>
      </c>
      <c r="F68" s="99" t="s">
        <v>2221</v>
      </c>
      <c r="G68" s="82" t="s">
        <v>2222</v>
      </c>
      <c r="H68" s="88" t="s">
        <v>1977</v>
      </c>
      <c r="I68" s="88" t="s">
        <v>1977</v>
      </c>
      <c r="J68" s="81" t="s">
        <v>103</v>
      </c>
      <c r="K68" s="74" t="s">
        <v>74</v>
      </c>
      <c r="L68" s="81"/>
      <c r="M68" s="83" t="s">
        <v>113</v>
      </c>
      <c r="N68" s="88" t="s">
        <v>23</v>
      </c>
      <c r="O68" s="79" t="s">
        <v>23</v>
      </c>
      <c r="P68" s="81"/>
      <c r="Q68" s="84" t="s">
        <v>2032</v>
      </c>
    </row>
    <row r="69" spans="1:17" ht="93" customHeight="1" x14ac:dyDescent="0.25">
      <c r="A69" s="30">
        <v>1199083</v>
      </c>
      <c r="B69" s="10" t="s">
        <v>1971</v>
      </c>
      <c r="C69" s="81" t="s">
        <v>2223</v>
      </c>
      <c r="D69" s="88" t="s">
        <v>2224</v>
      </c>
      <c r="E69" s="99" t="s">
        <v>1974</v>
      </c>
      <c r="F69" s="99" t="s">
        <v>2225</v>
      </c>
      <c r="G69" s="82" t="s">
        <v>2211</v>
      </c>
      <c r="H69" s="88" t="s">
        <v>1977</v>
      </c>
      <c r="I69" s="88" t="s">
        <v>1977</v>
      </c>
      <c r="J69" s="81" t="s">
        <v>103</v>
      </c>
      <c r="K69" s="74" t="s">
        <v>74</v>
      </c>
      <c r="L69" s="81"/>
      <c r="M69" s="83" t="s">
        <v>113</v>
      </c>
      <c r="N69" s="88" t="s">
        <v>23</v>
      </c>
      <c r="O69" s="79" t="s">
        <v>23</v>
      </c>
      <c r="P69" s="81"/>
      <c r="Q69" s="84" t="s">
        <v>2032</v>
      </c>
    </row>
    <row r="70" spans="1:17" ht="93" customHeight="1" x14ac:dyDescent="0.25">
      <c r="A70" s="30">
        <v>1199084</v>
      </c>
      <c r="B70" s="10" t="s">
        <v>1971</v>
      </c>
      <c r="C70" s="81" t="s">
        <v>2226</v>
      </c>
      <c r="D70" s="88" t="s">
        <v>2227</v>
      </c>
      <c r="E70" s="99" t="s">
        <v>1974</v>
      </c>
      <c r="F70" s="99" t="s">
        <v>2228</v>
      </c>
      <c r="G70" s="82" t="s">
        <v>2215</v>
      </c>
      <c r="H70" s="88" t="s">
        <v>1977</v>
      </c>
      <c r="I70" s="88" t="s">
        <v>1977</v>
      </c>
      <c r="J70" s="81" t="s">
        <v>103</v>
      </c>
      <c r="K70" s="74" t="s">
        <v>74</v>
      </c>
      <c r="L70" s="81"/>
      <c r="M70" s="83" t="s">
        <v>113</v>
      </c>
      <c r="N70" s="88" t="s">
        <v>23</v>
      </c>
      <c r="O70" s="79" t="s">
        <v>23</v>
      </c>
      <c r="P70" s="81"/>
      <c r="Q70" s="84" t="s">
        <v>2032</v>
      </c>
    </row>
    <row r="71" spans="1:17" ht="77.25" customHeight="1" x14ac:dyDescent="0.25">
      <c r="A71" s="30">
        <v>1199085</v>
      </c>
      <c r="B71" s="10" t="s">
        <v>1971</v>
      </c>
      <c r="C71" s="81" t="s">
        <v>2229</v>
      </c>
      <c r="D71" s="88" t="s">
        <v>2230</v>
      </c>
      <c r="E71" s="99" t="s">
        <v>1974</v>
      </c>
      <c r="F71" s="99" t="s">
        <v>2231</v>
      </c>
      <c r="G71" s="82" t="s">
        <v>2211</v>
      </c>
      <c r="H71" s="88" t="s">
        <v>1977</v>
      </c>
      <c r="I71" s="88" t="s">
        <v>1977</v>
      </c>
      <c r="J71" s="81" t="s">
        <v>103</v>
      </c>
      <c r="K71" s="74" t="s">
        <v>74</v>
      </c>
      <c r="L71" s="81"/>
      <c r="M71" s="83" t="s">
        <v>113</v>
      </c>
      <c r="N71" s="88" t="s">
        <v>23</v>
      </c>
      <c r="O71" s="79" t="s">
        <v>23</v>
      </c>
      <c r="P71" s="81"/>
      <c r="Q71" s="84" t="s">
        <v>2032</v>
      </c>
    </row>
    <row r="72" spans="1:17" ht="77.25" customHeight="1" x14ac:dyDescent="0.25">
      <c r="A72" s="30">
        <v>1199086</v>
      </c>
      <c r="B72" s="10" t="s">
        <v>1971</v>
      </c>
      <c r="C72" s="81" t="s">
        <v>2232</v>
      </c>
      <c r="D72" s="88" t="s">
        <v>2233</v>
      </c>
      <c r="E72" s="99" t="s">
        <v>1974</v>
      </c>
      <c r="F72" s="99" t="s">
        <v>2234</v>
      </c>
      <c r="G72" s="82" t="s">
        <v>2222</v>
      </c>
      <c r="H72" s="88" t="s">
        <v>1977</v>
      </c>
      <c r="I72" s="88" t="s">
        <v>1977</v>
      </c>
      <c r="J72" s="81" t="s">
        <v>103</v>
      </c>
      <c r="K72" s="74" t="s">
        <v>74</v>
      </c>
      <c r="L72" s="81"/>
      <c r="M72" s="83" t="s">
        <v>113</v>
      </c>
      <c r="N72" s="88" t="s">
        <v>23</v>
      </c>
      <c r="O72" s="79" t="s">
        <v>23</v>
      </c>
      <c r="P72" s="81"/>
      <c r="Q72" s="84" t="s">
        <v>2032</v>
      </c>
    </row>
    <row r="73" spans="1:17" ht="77.25" customHeight="1" x14ac:dyDescent="0.25">
      <c r="A73" s="30">
        <v>1199087</v>
      </c>
      <c r="B73" s="10" t="s">
        <v>1971</v>
      </c>
      <c r="C73" s="17" t="s">
        <v>2235</v>
      </c>
      <c r="D73" s="17" t="s">
        <v>2236</v>
      </c>
      <c r="E73" s="9" t="s">
        <v>1974</v>
      </c>
      <c r="F73" s="9" t="s">
        <v>2237</v>
      </c>
      <c r="G73" s="17" t="s">
        <v>2238</v>
      </c>
      <c r="H73" s="88" t="s">
        <v>1977</v>
      </c>
      <c r="I73" s="88" t="s">
        <v>1977</v>
      </c>
      <c r="J73" s="81" t="s">
        <v>103</v>
      </c>
      <c r="K73" s="74" t="s">
        <v>74</v>
      </c>
      <c r="L73" s="81"/>
      <c r="M73" s="83" t="s">
        <v>113</v>
      </c>
      <c r="N73" s="88" t="s">
        <v>23</v>
      </c>
      <c r="O73" s="79" t="s">
        <v>23</v>
      </c>
      <c r="P73" s="81"/>
      <c r="Q73" s="84" t="s">
        <v>2032</v>
      </c>
    </row>
    <row r="74" spans="1:17" ht="77.25" customHeight="1" x14ac:dyDescent="0.25">
      <c r="A74" s="30">
        <v>1199088</v>
      </c>
      <c r="B74" s="10" t="s">
        <v>1971</v>
      </c>
      <c r="C74" s="17" t="s">
        <v>2239</v>
      </c>
      <c r="D74" s="17" t="s">
        <v>2240</v>
      </c>
      <c r="E74" s="9" t="s">
        <v>1974</v>
      </c>
      <c r="F74" s="9" t="s">
        <v>2241</v>
      </c>
      <c r="G74" s="17" t="s">
        <v>2242</v>
      </c>
      <c r="H74" s="88" t="s">
        <v>1977</v>
      </c>
      <c r="I74" s="88" t="s">
        <v>1977</v>
      </c>
      <c r="J74" s="81" t="s">
        <v>103</v>
      </c>
      <c r="K74" s="74" t="s">
        <v>74</v>
      </c>
      <c r="L74" s="81"/>
      <c r="M74" s="83" t="s">
        <v>113</v>
      </c>
      <c r="N74" s="88" t="s">
        <v>23</v>
      </c>
      <c r="O74" s="79" t="s">
        <v>23</v>
      </c>
      <c r="P74" s="81"/>
      <c r="Q74" s="84" t="s">
        <v>2032</v>
      </c>
    </row>
    <row r="75" spans="1:17" ht="77.25" customHeight="1" x14ac:dyDescent="0.25">
      <c r="A75" s="30">
        <v>1199089</v>
      </c>
      <c r="B75" s="10" t="s">
        <v>1971</v>
      </c>
      <c r="C75" s="17" t="s">
        <v>2243</v>
      </c>
      <c r="D75" s="17" t="s">
        <v>2244</v>
      </c>
      <c r="E75" s="9" t="s">
        <v>1974</v>
      </c>
      <c r="F75" s="9" t="s">
        <v>2245</v>
      </c>
      <c r="G75" s="17" t="s">
        <v>2246</v>
      </c>
      <c r="H75" s="88" t="s">
        <v>1977</v>
      </c>
      <c r="I75" s="88" t="s">
        <v>1977</v>
      </c>
      <c r="J75" s="81" t="s">
        <v>103</v>
      </c>
      <c r="K75" s="74" t="s">
        <v>74</v>
      </c>
      <c r="L75" s="81"/>
      <c r="M75" s="83" t="s">
        <v>113</v>
      </c>
      <c r="N75" s="88" t="s">
        <v>23</v>
      </c>
      <c r="O75" s="79" t="s">
        <v>23</v>
      </c>
      <c r="P75" s="81"/>
      <c r="Q75" s="84" t="s">
        <v>2032</v>
      </c>
    </row>
    <row r="76" spans="1:17" ht="45.75" customHeight="1" x14ac:dyDescent="0.25">
      <c r="A76" s="30">
        <v>1199090</v>
      </c>
      <c r="B76" s="10" t="s">
        <v>1971</v>
      </c>
      <c r="C76" s="17" t="s">
        <v>2247</v>
      </c>
      <c r="D76" s="17" t="s">
        <v>2248</v>
      </c>
      <c r="E76" s="9" t="s">
        <v>1974</v>
      </c>
      <c r="F76" s="9" t="s">
        <v>2249</v>
      </c>
      <c r="G76" s="17" t="s">
        <v>2250</v>
      </c>
      <c r="H76" s="88" t="s">
        <v>1977</v>
      </c>
      <c r="I76" s="88" t="s">
        <v>1977</v>
      </c>
      <c r="J76" s="81" t="s">
        <v>103</v>
      </c>
      <c r="K76" s="74" t="s">
        <v>74</v>
      </c>
      <c r="L76" s="81"/>
      <c r="M76" s="83" t="s">
        <v>113</v>
      </c>
      <c r="N76" s="88" t="s">
        <v>23</v>
      </c>
      <c r="O76" s="79" t="s">
        <v>23</v>
      </c>
      <c r="P76" s="81"/>
      <c r="Q76" s="84" t="s">
        <v>2032</v>
      </c>
    </row>
    <row r="77" spans="1:17" ht="75" customHeight="1" x14ac:dyDescent="0.25">
      <c r="A77" s="30">
        <v>1199091</v>
      </c>
      <c r="B77" s="10" t="s">
        <v>1971</v>
      </c>
      <c r="C77" s="17" t="s">
        <v>2251</v>
      </c>
      <c r="D77" s="17" t="s">
        <v>2252</v>
      </c>
      <c r="E77" s="9" t="s">
        <v>1974</v>
      </c>
      <c r="F77" s="9" t="s">
        <v>2253</v>
      </c>
      <c r="G77" s="17" t="s">
        <v>2254</v>
      </c>
      <c r="H77" s="88" t="s">
        <v>1977</v>
      </c>
      <c r="I77" s="88" t="s">
        <v>1977</v>
      </c>
      <c r="J77" s="81" t="s">
        <v>103</v>
      </c>
      <c r="K77" s="74" t="s">
        <v>74</v>
      </c>
      <c r="L77" s="81"/>
      <c r="M77" s="83" t="s">
        <v>113</v>
      </c>
      <c r="N77" s="88" t="s">
        <v>23</v>
      </c>
      <c r="O77" s="79" t="s">
        <v>23</v>
      </c>
      <c r="P77" s="81"/>
      <c r="Q77" s="84" t="s">
        <v>2032</v>
      </c>
    </row>
    <row r="78" spans="1:17" ht="45.75" customHeight="1" x14ac:dyDescent="0.25">
      <c r="A78" s="30">
        <v>1199092</v>
      </c>
      <c r="B78" s="10" t="s">
        <v>1971</v>
      </c>
      <c r="C78" s="17" t="s">
        <v>2255</v>
      </c>
      <c r="D78" s="17" t="s">
        <v>2256</v>
      </c>
      <c r="E78" s="9" t="s">
        <v>1974</v>
      </c>
      <c r="F78" s="9" t="s">
        <v>2257</v>
      </c>
      <c r="G78" s="17" t="s">
        <v>2258</v>
      </c>
      <c r="H78" s="88" t="s">
        <v>1977</v>
      </c>
      <c r="I78" s="88" t="s">
        <v>1977</v>
      </c>
      <c r="J78" s="81" t="s">
        <v>103</v>
      </c>
      <c r="K78" s="74" t="s">
        <v>74</v>
      </c>
      <c r="L78" s="81"/>
      <c r="M78" s="83" t="s">
        <v>113</v>
      </c>
      <c r="N78" s="88" t="s">
        <v>23</v>
      </c>
      <c r="O78" s="79" t="s">
        <v>23</v>
      </c>
      <c r="P78" s="81"/>
      <c r="Q78" s="84" t="s">
        <v>2032</v>
      </c>
    </row>
    <row r="79" spans="1:17" ht="45.75" customHeight="1" x14ac:dyDescent="0.25">
      <c r="A79" s="30">
        <v>1199093</v>
      </c>
      <c r="B79" s="10" t="s">
        <v>1971</v>
      </c>
      <c r="C79" s="17" t="s">
        <v>2259</v>
      </c>
      <c r="D79" s="17" t="s">
        <v>2260</v>
      </c>
      <c r="E79" s="9" t="s">
        <v>1974</v>
      </c>
      <c r="F79" s="9" t="s">
        <v>2261</v>
      </c>
      <c r="G79" s="17" t="s">
        <v>2262</v>
      </c>
      <c r="H79" s="88" t="s">
        <v>1977</v>
      </c>
      <c r="I79" s="88" t="s">
        <v>1977</v>
      </c>
      <c r="J79" s="81" t="s">
        <v>103</v>
      </c>
      <c r="K79" s="74" t="s">
        <v>74</v>
      </c>
      <c r="L79" s="81"/>
      <c r="M79" s="83" t="s">
        <v>113</v>
      </c>
      <c r="N79" s="88" t="s">
        <v>23</v>
      </c>
      <c r="O79" s="79" t="s">
        <v>23</v>
      </c>
      <c r="P79" s="81"/>
      <c r="Q79" s="84" t="s">
        <v>2032</v>
      </c>
    </row>
    <row r="80" spans="1:17" ht="45.75" customHeight="1" x14ac:dyDescent="0.25">
      <c r="A80" s="30">
        <v>1199094</v>
      </c>
      <c r="B80" s="10" t="s">
        <v>1971</v>
      </c>
      <c r="C80" s="17" t="s">
        <v>2263</v>
      </c>
      <c r="D80" s="17" t="s">
        <v>2264</v>
      </c>
      <c r="E80" s="9" t="s">
        <v>1974</v>
      </c>
      <c r="F80" s="9" t="s">
        <v>2265</v>
      </c>
      <c r="G80" s="17" t="s">
        <v>2266</v>
      </c>
      <c r="H80" s="88" t="s">
        <v>1977</v>
      </c>
      <c r="I80" s="88" t="s">
        <v>1977</v>
      </c>
      <c r="J80" s="81" t="s">
        <v>103</v>
      </c>
      <c r="K80" s="74" t="s">
        <v>74</v>
      </c>
      <c r="L80" s="81"/>
      <c r="M80" s="83" t="s">
        <v>113</v>
      </c>
      <c r="N80" s="88" t="s">
        <v>23</v>
      </c>
      <c r="O80" s="79" t="s">
        <v>23</v>
      </c>
      <c r="P80" s="81"/>
      <c r="Q80" s="84" t="s">
        <v>2032</v>
      </c>
    </row>
    <row r="81" spans="1:17" ht="61.5" customHeight="1" x14ac:dyDescent="0.25">
      <c r="A81" s="30">
        <v>1199095</v>
      </c>
      <c r="B81" s="10" t="s">
        <v>1971</v>
      </c>
      <c r="C81" s="17" t="s">
        <v>2267</v>
      </c>
      <c r="D81" s="17" t="s">
        <v>2268</v>
      </c>
      <c r="E81" s="9" t="s">
        <v>1974</v>
      </c>
      <c r="F81" s="9" t="s">
        <v>2269</v>
      </c>
      <c r="G81" s="17" t="s">
        <v>2270</v>
      </c>
      <c r="H81" s="88" t="s">
        <v>1977</v>
      </c>
      <c r="I81" s="88" t="s">
        <v>1977</v>
      </c>
      <c r="J81" s="81" t="s">
        <v>103</v>
      </c>
      <c r="K81" s="74" t="s">
        <v>74</v>
      </c>
      <c r="L81" s="81"/>
      <c r="M81" s="83" t="s">
        <v>113</v>
      </c>
      <c r="N81" s="88" t="s">
        <v>23</v>
      </c>
      <c r="O81" s="79" t="s">
        <v>23</v>
      </c>
      <c r="P81" s="81"/>
      <c r="Q81" s="84" t="s">
        <v>2032</v>
      </c>
    </row>
    <row r="82" spans="1:17" ht="77.25" customHeight="1" x14ac:dyDescent="0.25">
      <c r="A82" s="30">
        <v>1199096</v>
      </c>
      <c r="B82" s="10" t="s">
        <v>1971</v>
      </c>
      <c r="C82" s="17" t="s">
        <v>2271</v>
      </c>
      <c r="D82" s="17" t="s">
        <v>2272</v>
      </c>
      <c r="E82" s="9" t="s">
        <v>1974</v>
      </c>
      <c r="F82" s="9" t="s">
        <v>2273</v>
      </c>
      <c r="G82" s="17" t="s">
        <v>2274</v>
      </c>
      <c r="H82" s="88" t="s">
        <v>1977</v>
      </c>
      <c r="I82" s="88" t="s">
        <v>1977</v>
      </c>
      <c r="J82" s="81" t="s">
        <v>103</v>
      </c>
      <c r="K82" s="74" t="s">
        <v>74</v>
      </c>
      <c r="L82" s="81"/>
      <c r="M82" s="83" t="s">
        <v>113</v>
      </c>
      <c r="N82" s="88" t="s">
        <v>23</v>
      </c>
      <c r="O82" s="79" t="s">
        <v>23</v>
      </c>
      <c r="P82" s="81"/>
      <c r="Q82" s="84" t="s">
        <v>2032</v>
      </c>
    </row>
    <row r="83" spans="1:17" ht="77.25" customHeight="1" x14ac:dyDescent="0.25">
      <c r="A83" s="30">
        <v>1199097</v>
      </c>
      <c r="B83" s="10" t="s">
        <v>1971</v>
      </c>
      <c r="C83" s="17" t="s">
        <v>2275</v>
      </c>
      <c r="D83" s="17" t="s">
        <v>2276</v>
      </c>
      <c r="E83" s="9" t="s">
        <v>1974</v>
      </c>
      <c r="F83" s="9" t="s">
        <v>2277</v>
      </c>
      <c r="G83" s="17" t="s">
        <v>2278</v>
      </c>
      <c r="H83" s="88" t="s">
        <v>1977</v>
      </c>
      <c r="I83" s="88" t="s">
        <v>1977</v>
      </c>
      <c r="J83" s="81" t="s">
        <v>103</v>
      </c>
      <c r="K83" s="74" t="s">
        <v>74</v>
      </c>
      <c r="L83" s="81"/>
      <c r="M83" s="83" t="s">
        <v>113</v>
      </c>
      <c r="N83" s="88" t="s">
        <v>23</v>
      </c>
      <c r="O83" s="79" t="s">
        <v>23</v>
      </c>
      <c r="P83" s="81"/>
      <c r="Q83" s="84" t="s">
        <v>2032</v>
      </c>
    </row>
  </sheetData>
  <phoneticPr fontId="1" type="noConversion"/>
  <dataValidations count="1">
    <dataValidation type="list" allowBlank="1" showInputMessage="1" showErrorMessage="1" sqref="M2:M83" xr:uid="{00000000-0002-0000-0D00-000000000000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64"/>
  <sheetViews>
    <sheetView topLeftCell="E59" workbookViewId="0">
      <selection activeCell="M64" sqref="M64"/>
    </sheetView>
  </sheetViews>
  <sheetFormatPr defaultRowHeight="14.5" x14ac:dyDescent="0.3"/>
  <cols>
    <col min="1" max="1" width="27" style="129" customWidth="1"/>
    <col min="2" max="2" width="27" style="17" customWidth="1"/>
    <col min="3" max="3" width="15.90625" style="17" bestFit="1" customWidth="1"/>
    <col min="4" max="4" width="19.453125" style="17" customWidth="1"/>
    <col min="5" max="5" width="40.90625" style="17" customWidth="1"/>
    <col min="6" max="6" width="55.6328125" style="17" customWidth="1"/>
    <col min="7" max="7" width="74.453125" style="17" customWidth="1"/>
    <col min="8" max="8" width="23.6328125" style="17" customWidth="1"/>
    <col min="17" max="17" width="20.26953125" style="17" bestFit="1" customWidth="1"/>
  </cols>
  <sheetData>
    <row r="1" spans="1:17" ht="14.25" customHeight="1" x14ac:dyDescent="0.3">
      <c r="A1" s="128" t="s">
        <v>57</v>
      </c>
      <c r="B1" s="63" t="s">
        <v>2279</v>
      </c>
      <c r="C1" s="63" t="s">
        <v>0</v>
      </c>
      <c r="D1" s="63" t="s">
        <v>1</v>
      </c>
      <c r="E1" s="60" t="s">
        <v>2</v>
      </c>
      <c r="F1" s="60" t="s">
        <v>59</v>
      </c>
      <c r="G1" s="63" t="s">
        <v>60</v>
      </c>
      <c r="H1" s="58" t="s">
        <v>61</v>
      </c>
      <c r="I1" s="59" t="s">
        <v>62</v>
      </c>
      <c r="J1" s="59" t="s">
        <v>63</v>
      </c>
      <c r="K1" s="59" t="s">
        <v>8</v>
      </c>
      <c r="L1" s="59" t="s">
        <v>64</v>
      </c>
      <c r="M1" s="59" t="s">
        <v>65</v>
      </c>
      <c r="N1" s="60" t="s">
        <v>11</v>
      </c>
      <c r="O1" s="61" t="s">
        <v>1969</v>
      </c>
      <c r="P1" s="61" t="s">
        <v>1970</v>
      </c>
      <c r="Q1" s="62" t="s">
        <v>66</v>
      </c>
    </row>
    <row r="2" spans="1:17" ht="50.25" customHeight="1" x14ac:dyDescent="0.3">
      <c r="A2" s="129">
        <v>1199608</v>
      </c>
      <c r="B2" s="69" t="s">
        <v>2280</v>
      </c>
      <c r="C2" s="52" t="s">
        <v>2281</v>
      </c>
      <c r="D2" s="84" t="s">
        <v>2282</v>
      </c>
      <c r="E2" s="125" t="s">
        <v>2283</v>
      </c>
      <c r="F2" s="125" t="s">
        <v>2284</v>
      </c>
      <c r="G2" s="53" t="s">
        <v>2285</v>
      </c>
      <c r="H2" s="54" t="s">
        <v>17</v>
      </c>
      <c r="I2" s="52" t="s">
        <v>73</v>
      </c>
      <c r="J2" s="55" t="s">
        <v>19</v>
      </c>
      <c r="K2" s="53" t="s">
        <v>74</v>
      </c>
      <c r="L2" s="56" t="s">
        <v>2286</v>
      </c>
      <c r="M2" s="52" t="s">
        <v>22</v>
      </c>
      <c r="N2" s="52" t="s">
        <v>77</v>
      </c>
      <c r="O2" s="69" t="s">
        <v>23</v>
      </c>
      <c r="P2" s="69"/>
      <c r="Q2" s="69" t="s">
        <v>2287</v>
      </c>
    </row>
    <row r="3" spans="1:17" ht="26.25" customHeight="1" x14ac:dyDescent="0.3">
      <c r="A3" s="129">
        <v>1199609</v>
      </c>
      <c r="B3" s="69" t="s">
        <v>2280</v>
      </c>
      <c r="C3" s="52" t="s">
        <v>2288</v>
      </c>
      <c r="D3" s="84" t="s">
        <v>2289</v>
      </c>
      <c r="E3" s="125" t="s">
        <v>2283</v>
      </c>
      <c r="F3" s="125" t="s">
        <v>2290</v>
      </c>
      <c r="G3" s="53" t="s">
        <v>2291</v>
      </c>
      <c r="H3" s="54" t="s">
        <v>17</v>
      </c>
      <c r="I3" s="52" t="s">
        <v>73</v>
      </c>
      <c r="J3" s="55" t="s">
        <v>19</v>
      </c>
      <c r="K3" s="53" t="s">
        <v>74</v>
      </c>
      <c r="L3" s="56" t="s">
        <v>2286</v>
      </c>
      <c r="M3" s="52" t="s">
        <v>22</v>
      </c>
      <c r="N3" s="52" t="s">
        <v>77</v>
      </c>
      <c r="O3" s="69" t="s">
        <v>23</v>
      </c>
      <c r="P3" s="69"/>
      <c r="Q3" s="69" t="s">
        <v>2287</v>
      </c>
    </row>
    <row r="4" spans="1:17" ht="50.25" customHeight="1" x14ac:dyDescent="0.3">
      <c r="A4" s="129">
        <v>1199610</v>
      </c>
      <c r="B4" s="69" t="s">
        <v>2280</v>
      </c>
      <c r="C4" s="52" t="s">
        <v>2292</v>
      </c>
      <c r="D4" s="84" t="s">
        <v>2293</v>
      </c>
      <c r="E4" s="125" t="s">
        <v>2283</v>
      </c>
      <c r="F4" s="125" t="s">
        <v>2294</v>
      </c>
      <c r="G4" s="53" t="s">
        <v>2285</v>
      </c>
      <c r="H4" s="54" t="s">
        <v>17</v>
      </c>
      <c r="I4" s="52" t="s">
        <v>73</v>
      </c>
      <c r="J4" s="55" t="s">
        <v>19</v>
      </c>
      <c r="K4" s="53" t="s">
        <v>74</v>
      </c>
      <c r="L4" s="56" t="s">
        <v>2286</v>
      </c>
      <c r="M4" s="52" t="s">
        <v>22</v>
      </c>
      <c r="N4" s="52" t="s">
        <v>77</v>
      </c>
      <c r="O4" s="69" t="s">
        <v>23</v>
      </c>
      <c r="P4" s="69"/>
      <c r="Q4" s="69" t="s">
        <v>2287</v>
      </c>
    </row>
    <row r="5" spans="1:17" ht="50.25" customHeight="1" x14ac:dyDescent="0.3">
      <c r="A5" s="129">
        <v>1199611</v>
      </c>
      <c r="B5" s="69" t="s">
        <v>2280</v>
      </c>
      <c r="C5" s="52" t="s">
        <v>2295</v>
      </c>
      <c r="D5" s="52" t="s">
        <v>2296</v>
      </c>
      <c r="E5" s="125" t="s">
        <v>2283</v>
      </c>
      <c r="F5" s="125" t="s">
        <v>2297</v>
      </c>
      <c r="G5" s="53" t="s">
        <v>2285</v>
      </c>
      <c r="H5" s="54" t="s">
        <v>17</v>
      </c>
      <c r="I5" s="52" t="s">
        <v>73</v>
      </c>
      <c r="J5" s="55" t="s">
        <v>19</v>
      </c>
      <c r="K5" s="53" t="s">
        <v>74</v>
      </c>
      <c r="L5" s="56" t="s">
        <v>2286</v>
      </c>
      <c r="M5" s="52" t="s">
        <v>22</v>
      </c>
      <c r="N5" s="52" t="s">
        <v>77</v>
      </c>
      <c r="O5" s="69" t="s">
        <v>23</v>
      </c>
      <c r="P5" s="69"/>
      <c r="Q5" s="69" t="s">
        <v>2287</v>
      </c>
    </row>
    <row r="6" spans="1:17" ht="50.25" customHeight="1" x14ac:dyDescent="0.3">
      <c r="A6" s="129">
        <v>1199612</v>
      </c>
      <c r="B6" s="69" t="s">
        <v>2280</v>
      </c>
      <c r="C6" s="52" t="s">
        <v>2298</v>
      </c>
      <c r="D6" s="52" t="s">
        <v>2299</v>
      </c>
      <c r="E6" s="125" t="s">
        <v>2283</v>
      </c>
      <c r="F6" s="125" t="s">
        <v>2300</v>
      </c>
      <c r="G6" s="53" t="s">
        <v>2301</v>
      </c>
      <c r="H6" s="54" t="s">
        <v>17</v>
      </c>
      <c r="I6" s="52" t="s">
        <v>73</v>
      </c>
      <c r="J6" s="55" t="s">
        <v>19</v>
      </c>
      <c r="K6" s="53" t="s">
        <v>74</v>
      </c>
      <c r="L6" s="56" t="s">
        <v>2286</v>
      </c>
      <c r="M6" s="52" t="s">
        <v>22</v>
      </c>
      <c r="N6" s="52" t="s">
        <v>77</v>
      </c>
      <c r="O6" s="69" t="s">
        <v>23</v>
      </c>
      <c r="P6" s="69"/>
      <c r="Q6" s="69" t="s">
        <v>2287</v>
      </c>
    </row>
    <row r="7" spans="1:17" ht="50.25" customHeight="1" x14ac:dyDescent="0.3">
      <c r="A7" s="129">
        <v>1199613</v>
      </c>
      <c r="B7" s="69" t="s">
        <v>2280</v>
      </c>
      <c r="C7" s="52" t="s">
        <v>2302</v>
      </c>
      <c r="D7" s="52" t="s">
        <v>2303</v>
      </c>
      <c r="E7" s="125" t="s">
        <v>2283</v>
      </c>
      <c r="F7" s="125" t="s">
        <v>2304</v>
      </c>
      <c r="G7" s="53" t="s">
        <v>2301</v>
      </c>
      <c r="H7" s="54" t="s">
        <v>17</v>
      </c>
      <c r="I7" s="52" t="s">
        <v>73</v>
      </c>
      <c r="J7" s="55" t="s">
        <v>19</v>
      </c>
      <c r="K7" s="53" t="s">
        <v>74</v>
      </c>
      <c r="L7" s="56" t="s">
        <v>2286</v>
      </c>
      <c r="M7" s="52" t="s">
        <v>22</v>
      </c>
      <c r="N7" s="52" t="s">
        <v>77</v>
      </c>
      <c r="O7" s="69" t="s">
        <v>23</v>
      </c>
      <c r="P7" s="69"/>
      <c r="Q7" s="69" t="s">
        <v>2287</v>
      </c>
    </row>
    <row r="8" spans="1:17" ht="31.5" customHeight="1" x14ac:dyDescent="0.3">
      <c r="A8" s="129">
        <v>1199614</v>
      </c>
      <c r="B8" s="69" t="s">
        <v>2280</v>
      </c>
      <c r="C8" s="52" t="s">
        <v>2305</v>
      </c>
      <c r="D8" s="52" t="s">
        <v>2306</v>
      </c>
      <c r="E8" s="125" t="s">
        <v>2283</v>
      </c>
      <c r="F8" s="130" t="s">
        <v>2307</v>
      </c>
      <c r="G8" s="53" t="s">
        <v>2308</v>
      </c>
      <c r="H8" s="54" t="s">
        <v>17</v>
      </c>
      <c r="I8" s="52" t="s">
        <v>73</v>
      </c>
      <c r="J8" s="55" t="s">
        <v>19</v>
      </c>
      <c r="K8" s="53" t="s">
        <v>74</v>
      </c>
      <c r="L8" s="56" t="s">
        <v>2286</v>
      </c>
      <c r="M8" s="52" t="s">
        <v>22</v>
      </c>
      <c r="N8" s="52" t="s">
        <v>77</v>
      </c>
      <c r="O8" s="69" t="s">
        <v>23</v>
      </c>
      <c r="P8" s="69"/>
      <c r="Q8" s="69" t="s">
        <v>2287</v>
      </c>
    </row>
    <row r="9" spans="1:17" ht="50.25" customHeight="1" x14ac:dyDescent="0.3">
      <c r="A9" s="129">
        <v>1199615</v>
      </c>
      <c r="B9" s="69" t="s">
        <v>2280</v>
      </c>
      <c r="C9" s="52" t="s">
        <v>2309</v>
      </c>
      <c r="D9" s="52" t="s">
        <v>2310</v>
      </c>
      <c r="E9" s="125" t="s">
        <v>2283</v>
      </c>
      <c r="F9" s="130" t="s">
        <v>2311</v>
      </c>
      <c r="G9" s="53" t="s">
        <v>2301</v>
      </c>
      <c r="H9" s="54" t="s">
        <v>17</v>
      </c>
      <c r="I9" s="52" t="s">
        <v>73</v>
      </c>
      <c r="J9" s="55" t="s">
        <v>19</v>
      </c>
      <c r="K9" s="53" t="s">
        <v>74</v>
      </c>
      <c r="L9" s="56" t="s">
        <v>2286</v>
      </c>
      <c r="M9" s="52" t="s">
        <v>22</v>
      </c>
      <c r="N9" s="52" t="s">
        <v>77</v>
      </c>
      <c r="O9" s="69" t="s">
        <v>23</v>
      </c>
      <c r="P9" s="69"/>
      <c r="Q9" s="69" t="s">
        <v>2287</v>
      </c>
    </row>
    <row r="10" spans="1:17" ht="50.25" customHeight="1" x14ac:dyDescent="0.3">
      <c r="A10" s="129">
        <v>1199616</v>
      </c>
      <c r="B10" s="69" t="s">
        <v>2280</v>
      </c>
      <c r="C10" s="52" t="s">
        <v>2312</v>
      </c>
      <c r="D10" s="52" t="s">
        <v>2313</v>
      </c>
      <c r="E10" s="125" t="s">
        <v>2283</v>
      </c>
      <c r="F10" s="130" t="s">
        <v>2314</v>
      </c>
      <c r="G10" s="53" t="s">
        <v>2315</v>
      </c>
      <c r="H10" s="54" t="s">
        <v>17</v>
      </c>
      <c r="I10" s="52" t="s">
        <v>73</v>
      </c>
      <c r="J10" s="55" t="s">
        <v>19</v>
      </c>
      <c r="K10" s="53" t="s">
        <v>74</v>
      </c>
      <c r="L10" s="56" t="s">
        <v>2286</v>
      </c>
      <c r="M10" s="52" t="s">
        <v>22</v>
      </c>
      <c r="N10" s="52" t="s">
        <v>77</v>
      </c>
      <c r="O10" s="69" t="s">
        <v>23</v>
      </c>
      <c r="P10" s="69"/>
      <c r="Q10" s="69" t="s">
        <v>2287</v>
      </c>
    </row>
    <row r="11" spans="1:17" ht="63.75" customHeight="1" x14ac:dyDescent="0.3">
      <c r="A11" s="129">
        <v>1199617</v>
      </c>
      <c r="B11" s="69" t="s">
        <v>2280</v>
      </c>
      <c r="C11" s="52" t="s">
        <v>2316</v>
      </c>
      <c r="D11" s="52" t="s">
        <v>2317</v>
      </c>
      <c r="E11" s="125" t="s">
        <v>2283</v>
      </c>
      <c r="F11" s="130" t="s">
        <v>2318</v>
      </c>
      <c r="G11" s="53" t="s">
        <v>2301</v>
      </c>
      <c r="H11" s="54" t="s">
        <v>17</v>
      </c>
      <c r="I11" s="52" t="s">
        <v>73</v>
      </c>
      <c r="J11" s="55" t="s">
        <v>19</v>
      </c>
      <c r="K11" s="53" t="s">
        <v>74</v>
      </c>
      <c r="L11" s="56" t="s">
        <v>2286</v>
      </c>
      <c r="M11" s="52" t="s">
        <v>22</v>
      </c>
      <c r="N11" s="52" t="s">
        <v>77</v>
      </c>
      <c r="O11" s="69" t="s">
        <v>23</v>
      </c>
      <c r="P11" s="69"/>
      <c r="Q11" s="69" t="s">
        <v>2287</v>
      </c>
    </row>
    <row r="12" spans="1:17" ht="45.75" customHeight="1" x14ac:dyDescent="0.3">
      <c r="A12" s="129">
        <v>1199618</v>
      </c>
      <c r="B12" s="69" t="s">
        <v>2280</v>
      </c>
      <c r="C12" s="52" t="s">
        <v>2319</v>
      </c>
      <c r="D12" s="52" t="s">
        <v>2320</v>
      </c>
      <c r="E12" s="84" t="s">
        <v>2321</v>
      </c>
      <c r="F12" s="130" t="s">
        <v>2322</v>
      </c>
      <c r="G12" s="53" t="s">
        <v>2323</v>
      </c>
      <c r="H12" s="54" t="s">
        <v>17</v>
      </c>
      <c r="I12" s="52" t="s">
        <v>73</v>
      </c>
      <c r="J12" s="55" t="s">
        <v>19</v>
      </c>
      <c r="K12" s="53" t="s">
        <v>74</v>
      </c>
      <c r="L12" s="56" t="s">
        <v>2286</v>
      </c>
      <c r="M12" s="52" t="s">
        <v>76</v>
      </c>
      <c r="N12" s="52" t="s">
        <v>77</v>
      </c>
      <c r="O12" s="69" t="s">
        <v>23</v>
      </c>
      <c r="P12" s="69"/>
      <c r="Q12" s="69" t="s">
        <v>2287</v>
      </c>
    </row>
    <row r="13" spans="1:17" ht="78.75" customHeight="1" x14ac:dyDescent="0.3">
      <c r="A13" s="129">
        <v>1199619</v>
      </c>
      <c r="B13" s="69" t="s">
        <v>2280</v>
      </c>
      <c r="C13" s="52" t="s">
        <v>2324</v>
      </c>
      <c r="D13" s="52" t="s">
        <v>2325</v>
      </c>
      <c r="E13" s="84" t="s">
        <v>2326</v>
      </c>
      <c r="F13" s="125" t="s">
        <v>2327</v>
      </c>
      <c r="G13" s="53" t="s">
        <v>2328</v>
      </c>
      <c r="H13" s="54" t="s">
        <v>17</v>
      </c>
      <c r="I13" s="52" t="s">
        <v>73</v>
      </c>
      <c r="J13" s="55" t="s">
        <v>19</v>
      </c>
      <c r="K13" s="53" t="s">
        <v>74</v>
      </c>
      <c r="L13" s="56" t="s">
        <v>2286</v>
      </c>
      <c r="M13" s="17" t="s">
        <v>113</v>
      </c>
      <c r="N13" s="52" t="s">
        <v>77</v>
      </c>
      <c r="O13" s="69" t="s">
        <v>23</v>
      </c>
      <c r="P13" s="69"/>
      <c r="Q13" s="69" t="s">
        <v>2287</v>
      </c>
    </row>
    <row r="14" spans="1:17" ht="79.5" customHeight="1" x14ac:dyDescent="0.3">
      <c r="A14" s="129">
        <v>1199620</v>
      </c>
      <c r="B14" s="69" t="s">
        <v>2280</v>
      </c>
      <c r="C14" s="52" t="s">
        <v>2329</v>
      </c>
      <c r="D14" s="52" t="s">
        <v>2330</v>
      </c>
      <c r="E14" s="84" t="s">
        <v>2326</v>
      </c>
      <c r="F14" s="130" t="s">
        <v>2331</v>
      </c>
      <c r="G14" s="57" t="s">
        <v>2332</v>
      </c>
      <c r="H14" s="54" t="s">
        <v>17</v>
      </c>
      <c r="I14" s="52" t="s">
        <v>73</v>
      </c>
      <c r="J14" s="55" t="s">
        <v>19</v>
      </c>
      <c r="K14" s="53" t="s">
        <v>74</v>
      </c>
      <c r="L14" s="56" t="s">
        <v>2286</v>
      </c>
      <c r="M14" s="17" t="s">
        <v>113</v>
      </c>
      <c r="N14" s="52" t="s">
        <v>77</v>
      </c>
      <c r="O14" s="69" t="s">
        <v>23</v>
      </c>
      <c r="P14" s="69"/>
      <c r="Q14" s="69" t="s">
        <v>2287</v>
      </c>
    </row>
    <row r="15" spans="1:17" ht="108.75" customHeight="1" x14ac:dyDescent="0.3">
      <c r="A15" s="129">
        <v>1199621</v>
      </c>
      <c r="B15" s="69" t="s">
        <v>2280</v>
      </c>
      <c r="C15" s="52" t="s">
        <v>2333</v>
      </c>
      <c r="D15" s="52" t="s">
        <v>2334</v>
      </c>
      <c r="E15" s="84" t="s">
        <v>2326</v>
      </c>
      <c r="F15" s="130" t="s">
        <v>2335</v>
      </c>
      <c r="G15" s="57" t="s">
        <v>2336</v>
      </c>
      <c r="H15" s="54" t="s">
        <v>17</v>
      </c>
      <c r="I15" s="52" t="s">
        <v>73</v>
      </c>
      <c r="J15" s="55" t="s">
        <v>19</v>
      </c>
      <c r="K15" s="53" t="s">
        <v>74</v>
      </c>
      <c r="L15" s="56" t="s">
        <v>2286</v>
      </c>
      <c r="M15" s="52" t="s">
        <v>22</v>
      </c>
      <c r="N15" s="52" t="s">
        <v>77</v>
      </c>
      <c r="O15" s="69" t="s">
        <v>23</v>
      </c>
      <c r="P15" s="69"/>
      <c r="Q15" s="69" t="s">
        <v>2287</v>
      </c>
    </row>
    <row r="16" spans="1:17" ht="79.5" customHeight="1" x14ac:dyDescent="0.3">
      <c r="A16" s="129">
        <v>1199622</v>
      </c>
      <c r="B16" s="69" t="s">
        <v>2280</v>
      </c>
      <c r="C16" s="52" t="s">
        <v>2337</v>
      </c>
      <c r="D16" s="52" t="s">
        <v>2338</v>
      </c>
      <c r="E16" s="84" t="s">
        <v>2326</v>
      </c>
      <c r="F16" s="130" t="s">
        <v>2339</v>
      </c>
      <c r="G16" s="57" t="s">
        <v>2340</v>
      </c>
      <c r="H16" s="54" t="s">
        <v>17</v>
      </c>
      <c r="I16" s="52" t="s">
        <v>73</v>
      </c>
      <c r="J16" s="55" t="s">
        <v>19</v>
      </c>
      <c r="K16" s="53" t="s">
        <v>74</v>
      </c>
      <c r="L16" s="56" t="s">
        <v>2286</v>
      </c>
      <c r="M16" s="52" t="s">
        <v>76</v>
      </c>
      <c r="N16" s="52" t="s">
        <v>77</v>
      </c>
      <c r="O16" s="69" t="s">
        <v>23</v>
      </c>
      <c r="P16" s="69"/>
      <c r="Q16" s="69" t="s">
        <v>2287</v>
      </c>
    </row>
    <row r="17" spans="1:17" ht="79.5" customHeight="1" x14ac:dyDescent="0.3">
      <c r="A17" s="129">
        <v>1199623</v>
      </c>
      <c r="B17" s="69" t="s">
        <v>2280</v>
      </c>
      <c r="C17" s="52" t="s">
        <v>2341</v>
      </c>
      <c r="D17" s="52" t="s">
        <v>2342</v>
      </c>
      <c r="E17" s="84" t="s">
        <v>2326</v>
      </c>
      <c r="F17" s="130" t="s">
        <v>2343</v>
      </c>
      <c r="G17" s="57" t="s">
        <v>2340</v>
      </c>
      <c r="H17" s="54" t="s">
        <v>17</v>
      </c>
      <c r="I17" s="52" t="s">
        <v>73</v>
      </c>
      <c r="J17" s="55" t="s">
        <v>19</v>
      </c>
      <c r="K17" s="53" t="s">
        <v>74</v>
      </c>
      <c r="L17" s="56" t="s">
        <v>2286</v>
      </c>
      <c r="M17" s="52" t="s">
        <v>22</v>
      </c>
      <c r="N17" s="52" t="s">
        <v>77</v>
      </c>
      <c r="O17" s="69" t="s">
        <v>23</v>
      </c>
      <c r="P17" s="69"/>
      <c r="Q17" s="69" t="s">
        <v>2287</v>
      </c>
    </row>
    <row r="18" spans="1:17" ht="95.25" customHeight="1" x14ac:dyDescent="0.3">
      <c r="A18" s="129">
        <v>1199624</v>
      </c>
      <c r="B18" s="69" t="s">
        <v>2280</v>
      </c>
      <c r="C18" s="52" t="s">
        <v>2344</v>
      </c>
      <c r="D18" s="52" t="s">
        <v>2345</v>
      </c>
      <c r="E18" s="84" t="s">
        <v>2326</v>
      </c>
      <c r="F18" s="130" t="s">
        <v>2346</v>
      </c>
      <c r="G18" s="57" t="s">
        <v>2347</v>
      </c>
      <c r="H18" s="54" t="s">
        <v>17</v>
      </c>
      <c r="I18" s="52" t="s">
        <v>73</v>
      </c>
      <c r="J18" s="55" t="s">
        <v>19</v>
      </c>
      <c r="K18" s="53" t="s">
        <v>74</v>
      </c>
      <c r="L18" s="56" t="s">
        <v>2286</v>
      </c>
      <c r="M18" s="17" t="s">
        <v>113</v>
      </c>
      <c r="N18" s="52" t="s">
        <v>77</v>
      </c>
      <c r="O18" s="69" t="s">
        <v>23</v>
      </c>
      <c r="P18" s="69"/>
      <c r="Q18" s="69" t="s">
        <v>2287</v>
      </c>
    </row>
    <row r="19" spans="1:17" ht="95.25" customHeight="1" x14ac:dyDescent="0.3">
      <c r="A19" s="129">
        <v>1199625</v>
      </c>
      <c r="B19" s="69" t="s">
        <v>2280</v>
      </c>
      <c r="C19" s="52" t="s">
        <v>2348</v>
      </c>
      <c r="D19" s="52" t="s">
        <v>2349</v>
      </c>
      <c r="E19" s="84" t="s">
        <v>2326</v>
      </c>
      <c r="F19" s="130" t="s">
        <v>2350</v>
      </c>
      <c r="G19" s="57" t="s">
        <v>2347</v>
      </c>
      <c r="H19" s="54" t="s">
        <v>17</v>
      </c>
      <c r="I19" s="52" t="s">
        <v>73</v>
      </c>
      <c r="J19" s="55" t="s">
        <v>19</v>
      </c>
      <c r="K19" s="53" t="s">
        <v>74</v>
      </c>
      <c r="L19" s="56" t="s">
        <v>2286</v>
      </c>
      <c r="M19" s="17" t="s">
        <v>113</v>
      </c>
      <c r="N19" s="52" t="s">
        <v>77</v>
      </c>
      <c r="O19" s="69" t="s">
        <v>23</v>
      </c>
      <c r="P19" s="69"/>
      <c r="Q19" s="69" t="s">
        <v>2287</v>
      </c>
    </row>
    <row r="20" spans="1:17" ht="95.25" customHeight="1" x14ac:dyDescent="0.3">
      <c r="A20" s="129">
        <v>1199626</v>
      </c>
      <c r="B20" s="69" t="s">
        <v>2280</v>
      </c>
      <c r="C20" s="52" t="s">
        <v>2351</v>
      </c>
      <c r="D20" s="52" t="s">
        <v>2352</v>
      </c>
      <c r="E20" s="84" t="s">
        <v>2326</v>
      </c>
      <c r="F20" s="130" t="s">
        <v>2353</v>
      </c>
      <c r="G20" s="57" t="s">
        <v>2354</v>
      </c>
      <c r="H20" s="54" t="s">
        <v>17</v>
      </c>
      <c r="I20" s="52" t="s">
        <v>73</v>
      </c>
      <c r="J20" s="55" t="s">
        <v>19</v>
      </c>
      <c r="K20" s="53" t="s">
        <v>74</v>
      </c>
      <c r="L20" s="56" t="s">
        <v>2286</v>
      </c>
      <c r="M20" s="52" t="s">
        <v>22</v>
      </c>
      <c r="N20" s="52" t="s">
        <v>77</v>
      </c>
      <c r="O20" s="69" t="s">
        <v>23</v>
      </c>
      <c r="P20" s="69"/>
      <c r="Q20" s="69" t="s">
        <v>2287</v>
      </c>
    </row>
    <row r="21" spans="1:17" ht="39.75" customHeight="1" x14ac:dyDescent="0.3">
      <c r="A21" s="129">
        <v>1199628</v>
      </c>
      <c r="B21" s="69" t="s">
        <v>2280</v>
      </c>
      <c r="C21" s="52" t="s">
        <v>2355</v>
      </c>
      <c r="D21" s="52" t="s">
        <v>2356</v>
      </c>
      <c r="E21" s="125" t="s">
        <v>2357</v>
      </c>
      <c r="F21" s="125" t="s">
        <v>2358</v>
      </c>
      <c r="G21" s="53" t="s">
        <v>2359</v>
      </c>
      <c r="H21" s="54" t="s">
        <v>17</v>
      </c>
      <c r="I21" s="52" t="s">
        <v>73</v>
      </c>
      <c r="J21" s="55" t="s">
        <v>19</v>
      </c>
      <c r="K21" s="53" t="s">
        <v>74</v>
      </c>
      <c r="L21" s="56" t="s">
        <v>2286</v>
      </c>
      <c r="M21" s="52" t="s">
        <v>22</v>
      </c>
      <c r="N21" s="52" t="s">
        <v>77</v>
      </c>
      <c r="O21" s="69" t="s">
        <v>23</v>
      </c>
      <c r="P21" s="69"/>
      <c r="Q21" s="69" t="s">
        <v>2287</v>
      </c>
    </row>
    <row r="22" spans="1:17" ht="39.75" customHeight="1" x14ac:dyDescent="0.3">
      <c r="A22" s="129">
        <v>1199629</v>
      </c>
      <c r="B22" s="69" t="s">
        <v>2280</v>
      </c>
      <c r="C22" s="52" t="s">
        <v>2360</v>
      </c>
      <c r="D22" s="52" t="s">
        <v>2361</v>
      </c>
      <c r="E22" s="125" t="s">
        <v>2357</v>
      </c>
      <c r="F22" s="125" t="s">
        <v>2362</v>
      </c>
      <c r="G22" s="53" t="s">
        <v>2359</v>
      </c>
      <c r="H22" s="54" t="s">
        <v>17</v>
      </c>
      <c r="I22" s="52" t="s">
        <v>73</v>
      </c>
      <c r="J22" s="55" t="s">
        <v>19</v>
      </c>
      <c r="K22" s="53" t="s">
        <v>74</v>
      </c>
      <c r="L22" s="56" t="s">
        <v>2286</v>
      </c>
      <c r="M22" s="17" t="s">
        <v>22</v>
      </c>
      <c r="N22" s="52" t="s">
        <v>77</v>
      </c>
      <c r="O22" s="69" t="s">
        <v>23</v>
      </c>
      <c r="P22" s="69"/>
      <c r="Q22" s="69" t="s">
        <v>2287</v>
      </c>
    </row>
    <row r="23" spans="1:17" ht="52.5" customHeight="1" x14ac:dyDescent="0.3">
      <c r="A23" s="129">
        <v>1199630</v>
      </c>
      <c r="B23" s="69" t="s">
        <v>2280</v>
      </c>
      <c r="C23" s="52" t="s">
        <v>2363</v>
      </c>
      <c r="D23" s="52" t="s">
        <v>2364</v>
      </c>
      <c r="E23" s="125" t="s">
        <v>2357</v>
      </c>
      <c r="F23" s="125" t="s">
        <v>2365</v>
      </c>
      <c r="G23" s="53" t="s">
        <v>2366</v>
      </c>
      <c r="H23" s="54" t="s">
        <v>17</v>
      </c>
      <c r="I23" s="52" t="s">
        <v>73</v>
      </c>
      <c r="J23" s="55" t="s">
        <v>19</v>
      </c>
      <c r="K23" s="53" t="s">
        <v>74</v>
      </c>
      <c r="L23" s="56" t="s">
        <v>2286</v>
      </c>
      <c r="M23" s="52" t="s">
        <v>22</v>
      </c>
      <c r="N23" s="52" t="s">
        <v>77</v>
      </c>
      <c r="O23" s="69" t="s">
        <v>23</v>
      </c>
      <c r="P23" s="69"/>
      <c r="Q23" s="69" t="s">
        <v>2287</v>
      </c>
    </row>
    <row r="24" spans="1:17" ht="52.5" customHeight="1" x14ac:dyDescent="0.3">
      <c r="A24" s="129">
        <v>1199631</v>
      </c>
      <c r="B24" s="69" t="s">
        <v>2280</v>
      </c>
      <c r="C24" s="52" t="s">
        <v>2367</v>
      </c>
      <c r="D24" s="52" t="s">
        <v>2368</v>
      </c>
      <c r="E24" s="125" t="s">
        <v>2357</v>
      </c>
      <c r="F24" s="125" t="s">
        <v>2365</v>
      </c>
      <c r="G24" s="53" t="s">
        <v>2366</v>
      </c>
      <c r="H24" s="54" t="s">
        <v>17</v>
      </c>
      <c r="I24" s="52" t="s">
        <v>73</v>
      </c>
      <c r="J24" s="55" t="s">
        <v>19</v>
      </c>
      <c r="K24" s="53" t="s">
        <v>74</v>
      </c>
      <c r="L24" s="56" t="s">
        <v>2286</v>
      </c>
      <c r="M24" s="52" t="s">
        <v>22</v>
      </c>
      <c r="N24" s="52" t="s">
        <v>77</v>
      </c>
      <c r="O24" s="69" t="s">
        <v>23</v>
      </c>
      <c r="P24" s="69"/>
      <c r="Q24" s="69" t="s">
        <v>2287</v>
      </c>
    </row>
    <row r="25" spans="1:17" ht="78.75" customHeight="1" x14ac:dyDescent="0.3">
      <c r="A25" s="129">
        <v>1199632</v>
      </c>
      <c r="B25" s="69" t="s">
        <v>2280</v>
      </c>
      <c r="C25" s="52" t="s">
        <v>2281</v>
      </c>
      <c r="D25" s="52" t="s">
        <v>2369</v>
      </c>
      <c r="E25" s="84" t="s">
        <v>2326</v>
      </c>
      <c r="F25" s="125" t="s">
        <v>2370</v>
      </c>
      <c r="G25" s="53" t="s">
        <v>2371</v>
      </c>
      <c r="H25" s="54" t="s">
        <v>17</v>
      </c>
      <c r="I25" s="52" t="s">
        <v>73</v>
      </c>
      <c r="J25" s="55" t="s">
        <v>19</v>
      </c>
      <c r="K25" s="53" t="s">
        <v>74</v>
      </c>
      <c r="L25" s="56" t="s">
        <v>2286</v>
      </c>
      <c r="M25" s="52" t="s">
        <v>76</v>
      </c>
      <c r="N25" s="52" t="s">
        <v>77</v>
      </c>
      <c r="O25" s="69" t="s">
        <v>23</v>
      </c>
      <c r="P25" s="69"/>
      <c r="Q25" s="69" t="s">
        <v>2287</v>
      </c>
    </row>
    <row r="26" spans="1:17" ht="78.75" customHeight="1" x14ac:dyDescent="0.3">
      <c r="A26" s="129">
        <v>1199633</v>
      </c>
      <c r="B26" s="69" t="s">
        <v>2280</v>
      </c>
      <c r="C26" s="52" t="s">
        <v>2288</v>
      </c>
      <c r="D26" s="52" t="s">
        <v>2372</v>
      </c>
      <c r="E26" s="84" t="s">
        <v>2326</v>
      </c>
      <c r="F26" s="125" t="s">
        <v>2373</v>
      </c>
      <c r="G26" s="53" t="s">
        <v>2371</v>
      </c>
      <c r="H26" s="54" t="s">
        <v>17</v>
      </c>
      <c r="I26" s="52" t="s">
        <v>73</v>
      </c>
      <c r="J26" s="55" t="s">
        <v>19</v>
      </c>
      <c r="K26" s="53" t="s">
        <v>74</v>
      </c>
      <c r="L26" s="56" t="s">
        <v>2286</v>
      </c>
      <c r="M26" s="52" t="s">
        <v>113</v>
      </c>
      <c r="N26" s="52" t="s">
        <v>77</v>
      </c>
      <c r="O26" s="69" t="s">
        <v>23</v>
      </c>
      <c r="P26" s="69"/>
      <c r="Q26" s="69" t="s">
        <v>2287</v>
      </c>
    </row>
    <row r="27" spans="1:17" ht="78.75" customHeight="1" x14ac:dyDescent="0.3">
      <c r="A27" s="129">
        <v>1199634</v>
      </c>
      <c r="B27" s="69" t="s">
        <v>2280</v>
      </c>
      <c r="C27" s="52" t="s">
        <v>2292</v>
      </c>
      <c r="D27" s="52" t="s">
        <v>2374</v>
      </c>
      <c r="E27" s="84" t="s">
        <v>2326</v>
      </c>
      <c r="F27" s="125" t="s">
        <v>2375</v>
      </c>
      <c r="G27" s="53" t="s">
        <v>2376</v>
      </c>
      <c r="H27" s="54" t="s">
        <v>17</v>
      </c>
      <c r="I27" s="52" t="s">
        <v>73</v>
      </c>
      <c r="J27" s="55" t="s">
        <v>19</v>
      </c>
      <c r="K27" s="53" t="s">
        <v>74</v>
      </c>
      <c r="L27" s="56" t="s">
        <v>2286</v>
      </c>
      <c r="M27" s="52" t="s">
        <v>22</v>
      </c>
      <c r="N27" s="52" t="s">
        <v>77</v>
      </c>
      <c r="O27" s="69" t="s">
        <v>23</v>
      </c>
      <c r="P27" s="69"/>
      <c r="Q27" s="69" t="s">
        <v>2287</v>
      </c>
    </row>
    <row r="28" spans="1:17" ht="88.5" customHeight="1" x14ac:dyDescent="0.3">
      <c r="A28" s="129">
        <v>1199635</v>
      </c>
      <c r="B28" s="69" t="s">
        <v>2280</v>
      </c>
      <c r="C28" s="52" t="s">
        <v>2295</v>
      </c>
      <c r="D28" s="52" t="s">
        <v>2377</v>
      </c>
      <c r="E28" s="84" t="s">
        <v>2326</v>
      </c>
      <c r="F28" s="125" t="s">
        <v>2378</v>
      </c>
      <c r="G28" s="53" t="s">
        <v>2379</v>
      </c>
      <c r="H28" s="54" t="s">
        <v>17</v>
      </c>
      <c r="I28" s="52" t="s">
        <v>73</v>
      </c>
      <c r="J28" s="55" t="s">
        <v>19</v>
      </c>
      <c r="K28" s="53" t="s">
        <v>74</v>
      </c>
      <c r="L28" s="56" t="s">
        <v>2286</v>
      </c>
      <c r="M28" s="52" t="s">
        <v>22</v>
      </c>
      <c r="N28" s="52" t="s">
        <v>77</v>
      </c>
      <c r="O28" s="69" t="s">
        <v>23</v>
      </c>
      <c r="P28" s="69"/>
      <c r="Q28" s="69" t="s">
        <v>2287</v>
      </c>
    </row>
    <row r="29" spans="1:17" ht="78" customHeight="1" x14ac:dyDescent="0.3">
      <c r="A29" s="129">
        <v>1199636</v>
      </c>
      <c r="B29" s="69" t="s">
        <v>2280</v>
      </c>
      <c r="C29" s="52" t="s">
        <v>2298</v>
      </c>
      <c r="D29" s="52" t="s">
        <v>2380</v>
      </c>
      <c r="E29" s="84" t="s">
        <v>2326</v>
      </c>
      <c r="F29" s="130" t="s">
        <v>2381</v>
      </c>
      <c r="G29" s="57" t="s">
        <v>2382</v>
      </c>
      <c r="H29" s="54" t="s">
        <v>17</v>
      </c>
      <c r="I29" s="52" t="s">
        <v>73</v>
      </c>
      <c r="J29" s="55" t="s">
        <v>19</v>
      </c>
      <c r="K29" s="53" t="s">
        <v>74</v>
      </c>
      <c r="L29" s="56" t="s">
        <v>2286</v>
      </c>
      <c r="M29" s="52" t="s">
        <v>22</v>
      </c>
      <c r="N29" s="52" t="s">
        <v>77</v>
      </c>
      <c r="O29" s="69" t="s">
        <v>23</v>
      </c>
      <c r="P29" s="69"/>
      <c r="Q29" s="69" t="s">
        <v>2287</v>
      </c>
    </row>
    <row r="30" spans="1:17" ht="31.5" customHeight="1" x14ac:dyDescent="0.3">
      <c r="A30" s="129">
        <v>1199637</v>
      </c>
      <c r="B30" s="69" t="s">
        <v>2280</v>
      </c>
      <c r="C30" s="52" t="s">
        <v>2302</v>
      </c>
      <c r="D30" s="52" t="s">
        <v>2383</v>
      </c>
      <c r="E30" s="84" t="s">
        <v>2326</v>
      </c>
      <c r="F30" s="130" t="s">
        <v>2384</v>
      </c>
      <c r="G30" s="57" t="s">
        <v>2385</v>
      </c>
      <c r="H30" s="54" t="s">
        <v>17</v>
      </c>
      <c r="I30" s="52" t="s">
        <v>73</v>
      </c>
      <c r="J30" s="55" t="s">
        <v>19</v>
      </c>
      <c r="K30" s="53" t="s">
        <v>74</v>
      </c>
      <c r="L30" s="56" t="s">
        <v>2286</v>
      </c>
      <c r="M30" s="52" t="s">
        <v>22</v>
      </c>
      <c r="N30" s="52" t="s">
        <v>77</v>
      </c>
      <c r="O30" s="69" t="s">
        <v>23</v>
      </c>
      <c r="P30" s="69"/>
      <c r="Q30" s="69" t="s">
        <v>2287</v>
      </c>
    </row>
    <row r="31" spans="1:17" ht="48" customHeight="1" x14ac:dyDescent="0.3">
      <c r="A31" s="129">
        <v>1199638</v>
      </c>
      <c r="B31" s="69" t="s">
        <v>2280</v>
      </c>
      <c r="C31" s="52" t="s">
        <v>2305</v>
      </c>
      <c r="D31" s="52" t="s">
        <v>2386</v>
      </c>
      <c r="E31" s="84" t="s">
        <v>2326</v>
      </c>
      <c r="F31" s="130" t="s">
        <v>2387</v>
      </c>
      <c r="G31" s="57" t="s">
        <v>2385</v>
      </c>
      <c r="H31" s="54" t="s">
        <v>17</v>
      </c>
      <c r="I31" s="52" t="s">
        <v>73</v>
      </c>
      <c r="J31" s="55" t="s">
        <v>19</v>
      </c>
      <c r="K31" s="53" t="s">
        <v>74</v>
      </c>
      <c r="L31" s="56" t="s">
        <v>2286</v>
      </c>
      <c r="M31" s="52" t="s">
        <v>22</v>
      </c>
      <c r="N31" s="52" t="s">
        <v>77</v>
      </c>
      <c r="O31" s="69" t="s">
        <v>23</v>
      </c>
      <c r="P31" s="69"/>
      <c r="Q31" s="69" t="s">
        <v>2287</v>
      </c>
    </row>
    <row r="32" spans="1:17" ht="48" customHeight="1" x14ac:dyDescent="0.3">
      <c r="A32" s="129">
        <v>1199639</v>
      </c>
      <c r="B32" s="69" t="s">
        <v>2280</v>
      </c>
      <c r="C32" s="52" t="s">
        <v>2309</v>
      </c>
      <c r="D32" s="52" t="s">
        <v>2386</v>
      </c>
      <c r="E32" s="84" t="s">
        <v>2326</v>
      </c>
      <c r="F32" s="130" t="s">
        <v>2388</v>
      </c>
      <c r="G32" s="57" t="s">
        <v>2385</v>
      </c>
      <c r="H32" s="54" t="s">
        <v>17</v>
      </c>
      <c r="I32" s="52" t="s">
        <v>73</v>
      </c>
      <c r="J32" s="55" t="s">
        <v>19</v>
      </c>
      <c r="K32" s="53" t="s">
        <v>74</v>
      </c>
      <c r="L32" s="56" t="s">
        <v>2286</v>
      </c>
      <c r="M32" s="52" t="s">
        <v>22</v>
      </c>
      <c r="N32" s="52" t="s">
        <v>77</v>
      </c>
      <c r="O32" s="69" t="s">
        <v>23</v>
      </c>
      <c r="P32" s="69"/>
      <c r="Q32" s="69" t="s">
        <v>2287</v>
      </c>
    </row>
    <row r="33" spans="1:17" ht="108.75" customHeight="1" x14ac:dyDescent="0.3">
      <c r="A33" s="129">
        <v>1199640</v>
      </c>
      <c r="B33" s="69" t="s">
        <v>2280</v>
      </c>
      <c r="C33" s="52" t="s">
        <v>2312</v>
      </c>
      <c r="D33" s="52" t="s">
        <v>2386</v>
      </c>
      <c r="E33" s="84" t="s">
        <v>2326</v>
      </c>
      <c r="F33" s="130" t="s">
        <v>2389</v>
      </c>
      <c r="G33" s="57" t="s">
        <v>2390</v>
      </c>
      <c r="H33" s="54" t="s">
        <v>17</v>
      </c>
      <c r="I33" s="52" t="s">
        <v>73</v>
      </c>
      <c r="J33" s="55" t="s">
        <v>19</v>
      </c>
      <c r="K33" s="53" t="s">
        <v>74</v>
      </c>
      <c r="L33" s="56" t="s">
        <v>2286</v>
      </c>
      <c r="M33" s="52" t="s">
        <v>22</v>
      </c>
      <c r="N33" s="52" t="s">
        <v>77</v>
      </c>
      <c r="O33" s="69" t="s">
        <v>23</v>
      </c>
      <c r="P33" s="69"/>
      <c r="Q33" s="69" t="s">
        <v>2287</v>
      </c>
    </row>
    <row r="34" spans="1:17" ht="107.25" customHeight="1" x14ac:dyDescent="0.3">
      <c r="A34" s="129">
        <v>1199641</v>
      </c>
      <c r="B34" s="69" t="s">
        <v>2280</v>
      </c>
      <c r="C34" s="52" t="s">
        <v>2316</v>
      </c>
      <c r="D34" s="52" t="s">
        <v>2386</v>
      </c>
      <c r="E34" s="84" t="s">
        <v>2326</v>
      </c>
      <c r="F34" s="130" t="s">
        <v>2391</v>
      </c>
      <c r="G34" s="57" t="s">
        <v>2392</v>
      </c>
      <c r="H34" s="54" t="s">
        <v>17</v>
      </c>
      <c r="I34" s="52" t="s">
        <v>73</v>
      </c>
      <c r="J34" s="55" t="s">
        <v>19</v>
      </c>
      <c r="K34" s="53" t="s">
        <v>74</v>
      </c>
      <c r="L34" s="56" t="s">
        <v>2286</v>
      </c>
      <c r="M34" s="52" t="s">
        <v>22</v>
      </c>
      <c r="N34" s="52" t="s">
        <v>77</v>
      </c>
      <c r="O34" s="69" t="s">
        <v>23</v>
      </c>
      <c r="P34" s="69"/>
      <c r="Q34" s="69" t="s">
        <v>2287</v>
      </c>
    </row>
    <row r="35" spans="1:17" ht="107.25" customHeight="1" x14ac:dyDescent="0.3">
      <c r="A35" s="129">
        <v>1199642</v>
      </c>
      <c r="B35" s="69" t="s">
        <v>2280</v>
      </c>
      <c r="C35" s="52" t="s">
        <v>2319</v>
      </c>
      <c r="D35" s="52" t="s">
        <v>2386</v>
      </c>
      <c r="E35" s="84" t="s">
        <v>2326</v>
      </c>
      <c r="F35" s="130" t="s">
        <v>2393</v>
      </c>
      <c r="G35" s="57" t="s">
        <v>2392</v>
      </c>
      <c r="H35" s="54" t="s">
        <v>17</v>
      </c>
      <c r="I35" s="52" t="s">
        <v>73</v>
      </c>
      <c r="J35" s="55" t="s">
        <v>19</v>
      </c>
      <c r="K35" s="53" t="s">
        <v>74</v>
      </c>
      <c r="L35" s="56" t="s">
        <v>2286</v>
      </c>
      <c r="M35" s="52" t="s">
        <v>22</v>
      </c>
      <c r="N35" s="52" t="s">
        <v>77</v>
      </c>
      <c r="O35" s="69" t="s">
        <v>23</v>
      </c>
      <c r="P35" s="69"/>
      <c r="Q35" s="69" t="s">
        <v>2287</v>
      </c>
    </row>
    <row r="36" spans="1:17" ht="78" customHeight="1" x14ac:dyDescent="0.3">
      <c r="A36" s="129">
        <v>1199643</v>
      </c>
      <c r="B36" s="69" t="s">
        <v>2280</v>
      </c>
      <c r="C36" s="52" t="s">
        <v>2324</v>
      </c>
      <c r="D36" s="52" t="s">
        <v>2386</v>
      </c>
      <c r="E36" s="84" t="s">
        <v>2326</v>
      </c>
      <c r="F36" s="130" t="s">
        <v>2394</v>
      </c>
      <c r="G36" s="57" t="s">
        <v>2395</v>
      </c>
      <c r="H36" s="54" t="s">
        <v>17</v>
      </c>
      <c r="I36" s="52" t="s">
        <v>73</v>
      </c>
      <c r="J36" s="55" t="s">
        <v>19</v>
      </c>
      <c r="K36" s="53" t="s">
        <v>74</v>
      </c>
      <c r="L36" s="56" t="s">
        <v>2286</v>
      </c>
      <c r="M36" s="52" t="s">
        <v>22</v>
      </c>
      <c r="N36" s="52" t="s">
        <v>77</v>
      </c>
      <c r="O36" s="69" t="s">
        <v>23</v>
      </c>
      <c r="P36" s="69"/>
      <c r="Q36" s="69" t="s">
        <v>2287</v>
      </c>
    </row>
    <row r="37" spans="1:17" ht="78.75" customHeight="1" x14ac:dyDescent="0.3">
      <c r="A37" s="129">
        <v>1199644</v>
      </c>
      <c r="B37" s="69" t="s">
        <v>2280</v>
      </c>
      <c r="C37" s="52" t="s">
        <v>2281</v>
      </c>
      <c r="D37" s="52" t="s">
        <v>2396</v>
      </c>
      <c r="E37" s="84" t="s">
        <v>2326</v>
      </c>
      <c r="F37" s="125" t="s">
        <v>2397</v>
      </c>
      <c r="G37" s="53" t="s">
        <v>2398</v>
      </c>
      <c r="H37" s="54" t="s">
        <v>17</v>
      </c>
      <c r="I37" s="52" t="s">
        <v>73</v>
      </c>
      <c r="J37" s="55" t="s">
        <v>19</v>
      </c>
      <c r="K37" s="53" t="s">
        <v>74</v>
      </c>
      <c r="L37" s="56" t="s">
        <v>2399</v>
      </c>
      <c r="M37" s="52" t="s">
        <v>22</v>
      </c>
      <c r="N37" s="52" t="s">
        <v>77</v>
      </c>
      <c r="O37" s="69" t="s">
        <v>23</v>
      </c>
      <c r="P37" s="69"/>
      <c r="Q37" s="69" t="s">
        <v>2287</v>
      </c>
    </row>
    <row r="38" spans="1:17" ht="78.75" customHeight="1" x14ac:dyDescent="0.3">
      <c r="A38" s="129">
        <v>1199645</v>
      </c>
      <c r="B38" s="69" t="s">
        <v>2280</v>
      </c>
      <c r="C38" s="52" t="s">
        <v>2288</v>
      </c>
      <c r="D38" s="52" t="s">
        <v>2400</v>
      </c>
      <c r="E38" s="84" t="s">
        <v>2326</v>
      </c>
      <c r="F38" s="125" t="s">
        <v>2401</v>
      </c>
      <c r="G38" s="53" t="s">
        <v>2402</v>
      </c>
      <c r="H38" s="54" t="s">
        <v>17</v>
      </c>
      <c r="I38" s="52" t="s">
        <v>73</v>
      </c>
      <c r="J38" s="55" t="s">
        <v>19</v>
      </c>
      <c r="K38" s="53" t="s">
        <v>74</v>
      </c>
      <c r="L38" s="56" t="s">
        <v>2399</v>
      </c>
      <c r="M38" s="52" t="s">
        <v>76</v>
      </c>
      <c r="N38" s="52" t="s">
        <v>77</v>
      </c>
      <c r="O38" s="69" t="s">
        <v>23</v>
      </c>
      <c r="P38" s="69"/>
      <c r="Q38" s="69" t="s">
        <v>2287</v>
      </c>
    </row>
    <row r="39" spans="1:17" ht="78.75" customHeight="1" x14ac:dyDescent="0.3">
      <c r="A39" s="129">
        <v>1199646</v>
      </c>
      <c r="B39" s="69" t="s">
        <v>2280</v>
      </c>
      <c r="C39" s="52" t="s">
        <v>2292</v>
      </c>
      <c r="D39" s="52" t="s">
        <v>2403</v>
      </c>
      <c r="E39" s="84" t="s">
        <v>2326</v>
      </c>
      <c r="F39" s="125" t="s">
        <v>2404</v>
      </c>
      <c r="G39" s="53" t="s">
        <v>2405</v>
      </c>
      <c r="H39" s="54" t="s">
        <v>17</v>
      </c>
      <c r="I39" s="52" t="s">
        <v>73</v>
      </c>
      <c r="J39" s="55" t="s">
        <v>19</v>
      </c>
      <c r="K39" s="53" t="s">
        <v>74</v>
      </c>
      <c r="L39" s="56" t="s">
        <v>2399</v>
      </c>
      <c r="M39" s="52" t="s">
        <v>22</v>
      </c>
      <c r="N39" s="52" t="s">
        <v>77</v>
      </c>
      <c r="O39" s="69" t="s">
        <v>23</v>
      </c>
      <c r="P39" s="69"/>
      <c r="Q39" s="69" t="s">
        <v>2287</v>
      </c>
    </row>
    <row r="40" spans="1:17" ht="52.5" customHeight="1" x14ac:dyDescent="0.3">
      <c r="A40" s="129">
        <v>1199647</v>
      </c>
      <c r="B40" s="69" t="s">
        <v>2280</v>
      </c>
      <c r="C40" s="52" t="s">
        <v>2295</v>
      </c>
      <c r="D40" s="52" t="s">
        <v>2406</v>
      </c>
      <c r="E40" s="125" t="s">
        <v>2407</v>
      </c>
      <c r="F40" s="125" t="s">
        <v>2408</v>
      </c>
      <c r="G40" s="53" t="s">
        <v>2409</v>
      </c>
      <c r="H40" s="54" t="s">
        <v>17</v>
      </c>
      <c r="I40" s="52" t="s">
        <v>73</v>
      </c>
      <c r="J40" s="55" t="s">
        <v>19</v>
      </c>
      <c r="K40" s="53" t="s">
        <v>74</v>
      </c>
      <c r="L40" s="56" t="s">
        <v>2399</v>
      </c>
      <c r="M40" s="52" t="s">
        <v>22</v>
      </c>
      <c r="N40" s="52" t="s">
        <v>77</v>
      </c>
      <c r="O40" s="69" t="s">
        <v>23</v>
      </c>
      <c r="P40" s="69"/>
      <c r="Q40" s="69" t="s">
        <v>2287</v>
      </c>
    </row>
    <row r="41" spans="1:17" ht="66" customHeight="1" x14ac:dyDescent="0.3">
      <c r="A41" s="129">
        <v>1199648</v>
      </c>
      <c r="B41" s="69" t="s">
        <v>2280</v>
      </c>
      <c r="C41" s="52" t="s">
        <v>2298</v>
      </c>
      <c r="D41" s="52" t="s">
        <v>2406</v>
      </c>
      <c r="E41" s="84" t="s">
        <v>2326</v>
      </c>
      <c r="F41" s="125" t="s">
        <v>2410</v>
      </c>
      <c r="G41" s="53" t="s">
        <v>2411</v>
      </c>
      <c r="H41" s="54" t="s">
        <v>17</v>
      </c>
      <c r="I41" s="52" t="s">
        <v>73</v>
      </c>
      <c r="J41" s="55" t="s">
        <v>19</v>
      </c>
      <c r="K41" s="53" t="s">
        <v>74</v>
      </c>
      <c r="L41" s="56" t="s">
        <v>2399</v>
      </c>
      <c r="M41" s="52" t="s">
        <v>22</v>
      </c>
      <c r="N41" s="52" t="s">
        <v>77</v>
      </c>
      <c r="O41" s="69" t="s">
        <v>23</v>
      </c>
      <c r="P41" s="69"/>
      <c r="Q41" s="69" t="s">
        <v>2287</v>
      </c>
    </row>
    <row r="42" spans="1:17" ht="64.5" customHeight="1" x14ac:dyDescent="0.3">
      <c r="A42" s="129">
        <v>1199649</v>
      </c>
      <c r="B42" s="69" t="s">
        <v>2280</v>
      </c>
      <c r="C42" s="52" t="s">
        <v>2302</v>
      </c>
      <c r="D42" s="52" t="s">
        <v>2406</v>
      </c>
      <c r="E42" s="84" t="s">
        <v>2412</v>
      </c>
      <c r="F42" s="125" t="s">
        <v>2413</v>
      </c>
      <c r="G42" s="53" t="s">
        <v>2414</v>
      </c>
      <c r="H42" s="54" t="s">
        <v>17</v>
      </c>
      <c r="I42" s="52" t="s">
        <v>73</v>
      </c>
      <c r="J42" s="55" t="s">
        <v>19</v>
      </c>
      <c r="K42" s="53" t="s">
        <v>74</v>
      </c>
      <c r="L42" s="56" t="s">
        <v>2399</v>
      </c>
      <c r="M42" s="52" t="s">
        <v>76</v>
      </c>
      <c r="N42" s="52" t="s">
        <v>77</v>
      </c>
      <c r="O42" s="69" t="s">
        <v>23</v>
      </c>
      <c r="P42" s="69"/>
      <c r="Q42" s="69" t="s">
        <v>2287</v>
      </c>
    </row>
    <row r="43" spans="1:17" ht="64.5" customHeight="1" x14ac:dyDescent="0.3">
      <c r="A43" s="129">
        <v>1199650</v>
      </c>
      <c r="B43" s="69" t="s">
        <v>2280</v>
      </c>
      <c r="C43" s="52" t="s">
        <v>2305</v>
      </c>
      <c r="D43" s="52" t="s">
        <v>2406</v>
      </c>
      <c r="E43" s="84" t="s">
        <v>2412</v>
      </c>
      <c r="F43" s="125" t="s">
        <v>2401</v>
      </c>
      <c r="G43" s="53" t="s">
        <v>2414</v>
      </c>
      <c r="H43" s="54" t="s">
        <v>17</v>
      </c>
      <c r="I43" s="52" t="s">
        <v>73</v>
      </c>
      <c r="J43" s="55" t="s">
        <v>19</v>
      </c>
      <c r="K43" s="53" t="s">
        <v>74</v>
      </c>
      <c r="L43" s="56" t="s">
        <v>2399</v>
      </c>
      <c r="M43" s="52" t="s">
        <v>22</v>
      </c>
      <c r="N43" s="52" t="s">
        <v>77</v>
      </c>
      <c r="O43" s="69" t="s">
        <v>23</v>
      </c>
      <c r="P43" s="69"/>
      <c r="Q43" s="69" t="s">
        <v>2287</v>
      </c>
    </row>
    <row r="44" spans="1:17" ht="64.5" customHeight="1" x14ac:dyDescent="0.3">
      <c r="A44" s="129">
        <v>1199651</v>
      </c>
      <c r="B44" s="69" t="s">
        <v>2280</v>
      </c>
      <c r="C44" s="52" t="s">
        <v>2309</v>
      </c>
      <c r="D44" s="52" t="s">
        <v>2406</v>
      </c>
      <c r="E44" s="84" t="s">
        <v>2412</v>
      </c>
      <c r="F44" s="125" t="s">
        <v>2401</v>
      </c>
      <c r="G44" s="53" t="s">
        <v>2414</v>
      </c>
      <c r="H44" s="54" t="s">
        <v>17</v>
      </c>
      <c r="I44" s="52" t="s">
        <v>73</v>
      </c>
      <c r="J44" s="55" t="s">
        <v>19</v>
      </c>
      <c r="K44" s="53" t="s">
        <v>74</v>
      </c>
      <c r="L44" s="56" t="s">
        <v>2399</v>
      </c>
      <c r="M44" s="52" t="s">
        <v>22</v>
      </c>
      <c r="N44" s="52" t="s">
        <v>77</v>
      </c>
      <c r="O44" s="69" t="s">
        <v>23</v>
      </c>
      <c r="P44" s="69"/>
      <c r="Q44" s="69" t="s">
        <v>2287</v>
      </c>
    </row>
    <row r="45" spans="1:17" ht="64.5" customHeight="1" x14ac:dyDescent="0.3">
      <c r="A45" s="129">
        <v>1199652</v>
      </c>
      <c r="B45" s="69" t="s">
        <v>2280</v>
      </c>
      <c r="C45" s="52" t="s">
        <v>2312</v>
      </c>
      <c r="D45" s="52" t="s">
        <v>2406</v>
      </c>
      <c r="E45" s="84" t="s">
        <v>2412</v>
      </c>
      <c r="F45" s="125" t="s">
        <v>2408</v>
      </c>
      <c r="G45" s="53" t="s">
        <v>2414</v>
      </c>
      <c r="H45" s="54" t="s">
        <v>17</v>
      </c>
      <c r="I45" s="52" t="s">
        <v>73</v>
      </c>
      <c r="J45" s="55" t="s">
        <v>19</v>
      </c>
      <c r="K45" s="53" t="s">
        <v>74</v>
      </c>
      <c r="L45" s="56" t="s">
        <v>2399</v>
      </c>
      <c r="M45" s="52" t="s">
        <v>22</v>
      </c>
      <c r="N45" s="52" t="s">
        <v>77</v>
      </c>
      <c r="O45" s="69" t="s">
        <v>23</v>
      </c>
      <c r="P45" s="69"/>
      <c r="Q45" s="69" t="s">
        <v>2287</v>
      </c>
    </row>
    <row r="46" spans="1:17" ht="39.75" customHeight="1" x14ac:dyDescent="0.3">
      <c r="A46" s="129">
        <v>1199653</v>
      </c>
      <c r="B46" s="69" t="s">
        <v>2280</v>
      </c>
      <c r="C46" s="52" t="s">
        <v>2316</v>
      </c>
      <c r="D46" s="52" t="s">
        <v>2415</v>
      </c>
      <c r="E46" s="125" t="s">
        <v>2416</v>
      </c>
      <c r="F46" s="125" t="s">
        <v>2417</v>
      </c>
      <c r="G46" s="57" t="s">
        <v>2418</v>
      </c>
      <c r="H46" s="54" t="s">
        <v>17</v>
      </c>
      <c r="I46" s="52" t="s">
        <v>73</v>
      </c>
      <c r="J46" s="55" t="s">
        <v>19</v>
      </c>
      <c r="K46" s="53" t="s">
        <v>74</v>
      </c>
      <c r="L46" s="56" t="s">
        <v>2399</v>
      </c>
      <c r="M46" s="52" t="s">
        <v>76</v>
      </c>
      <c r="N46" s="52" t="s">
        <v>77</v>
      </c>
      <c r="O46" s="69" t="s">
        <v>23</v>
      </c>
      <c r="P46" s="69"/>
      <c r="Q46" s="69" t="s">
        <v>2287</v>
      </c>
    </row>
    <row r="47" spans="1:17" ht="39.75" customHeight="1" x14ac:dyDescent="0.3">
      <c r="A47" s="129">
        <v>1199654</v>
      </c>
      <c r="B47" s="69" t="s">
        <v>2280</v>
      </c>
      <c r="C47" s="52" t="s">
        <v>2319</v>
      </c>
      <c r="D47" s="84" t="s">
        <v>2419</v>
      </c>
      <c r="E47" s="125" t="s">
        <v>2416</v>
      </c>
      <c r="F47" s="125" t="s">
        <v>2420</v>
      </c>
      <c r="G47" s="57" t="s">
        <v>2421</v>
      </c>
      <c r="H47" s="54" t="s">
        <v>17</v>
      </c>
      <c r="I47" s="52" t="s">
        <v>73</v>
      </c>
      <c r="J47" s="55" t="s">
        <v>19</v>
      </c>
      <c r="K47" s="53" t="s">
        <v>74</v>
      </c>
      <c r="L47" s="56" t="s">
        <v>2399</v>
      </c>
      <c r="M47" s="52" t="s">
        <v>22</v>
      </c>
      <c r="N47" s="52" t="s">
        <v>77</v>
      </c>
      <c r="O47" s="69" t="s">
        <v>23</v>
      </c>
      <c r="P47" s="69"/>
      <c r="Q47" s="69" t="s">
        <v>2287</v>
      </c>
    </row>
    <row r="48" spans="1:17" ht="39.75" customHeight="1" x14ac:dyDescent="0.3">
      <c r="A48" s="129">
        <v>1199655</v>
      </c>
      <c r="B48" s="69" t="s">
        <v>2280</v>
      </c>
      <c r="C48" s="52" t="s">
        <v>2324</v>
      </c>
      <c r="D48" s="84" t="s">
        <v>2422</v>
      </c>
      <c r="E48" s="125" t="s">
        <v>2416</v>
      </c>
      <c r="F48" s="125" t="s">
        <v>2423</v>
      </c>
      <c r="G48" s="57" t="s">
        <v>2424</v>
      </c>
      <c r="H48" s="54" t="s">
        <v>17</v>
      </c>
      <c r="I48" s="52" t="s">
        <v>73</v>
      </c>
      <c r="J48" s="55" t="s">
        <v>19</v>
      </c>
      <c r="K48" s="53" t="s">
        <v>74</v>
      </c>
      <c r="L48" s="56" t="s">
        <v>2399</v>
      </c>
      <c r="M48" s="52" t="s">
        <v>22</v>
      </c>
      <c r="N48" s="52" t="s">
        <v>77</v>
      </c>
      <c r="O48" s="69" t="s">
        <v>23</v>
      </c>
      <c r="P48" s="69"/>
      <c r="Q48" s="69" t="s">
        <v>2287</v>
      </c>
    </row>
    <row r="49" spans="1:17" ht="39.75" customHeight="1" x14ac:dyDescent="0.3">
      <c r="A49" s="129">
        <v>1199656</v>
      </c>
      <c r="B49" s="69" t="s">
        <v>2280</v>
      </c>
      <c r="C49" s="52" t="s">
        <v>2329</v>
      </c>
      <c r="D49" s="84" t="s">
        <v>2425</v>
      </c>
      <c r="E49" s="125" t="s">
        <v>2416</v>
      </c>
      <c r="F49" s="125" t="s">
        <v>2426</v>
      </c>
      <c r="G49" s="57" t="s">
        <v>2427</v>
      </c>
      <c r="H49" s="54" t="s">
        <v>17</v>
      </c>
      <c r="I49" s="52" t="s">
        <v>73</v>
      </c>
      <c r="J49" s="55" t="s">
        <v>19</v>
      </c>
      <c r="K49" s="53" t="s">
        <v>74</v>
      </c>
      <c r="L49" s="56" t="s">
        <v>2399</v>
      </c>
      <c r="M49" s="52" t="s">
        <v>22</v>
      </c>
      <c r="N49" s="52" t="s">
        <v>77</v>
      </c>
      <c r="O49" s="69" t="s">
        <v>23</v>
      </c>
      <c r="P49" s="69"/>
      <c r="Q49" s="69" t="s">
        <v>2287</v>
      </c>
    </row>
    <row r="50" spans="1:17" ht="26.25" customHeight="1" x14ac:dyDescent="0.3">
      <c r="A50" s="129">
        <v>1199657</v>
      </c>
      <c r="B50" s="69" t="s">
        <v>2280</v>
      </c>
      <c r="C50" s="52" t="s">
        <v>2281</v>
      </c>
      <c r="D50" s="52" t="s">
        <v>2428</v>
      </c>
      <c r="E50" s="125" t="s">
        <v>2416</v>
      </c>
      <c r="F50" s="125" t="s">
        <v>2429</v>
      </c>
      <c r="G50" s="53" t="s">
        <v>2430</v>
      </c>
      <c r="H50" s="54" t="s">
        <v>17</v>
      </c>
      <c r="I50" s="52" t="s">
        <v>73</v>
      </c>
      <c r="J50" s="55" t="s">
        <v>19</v>
      </c>
      <c r="K50" s="53" t="s">
        <v>74</v>
      </c>
      <c r="L50" s="56" t="s">
        <v>2286</v>
      </c>
      <c r="M50" s="52" t="s">
        <v>76</v>
      </c>
      <c r="N50" s="52" t="s">
        <v>77</v>
      </c>
      <c r="O50" s="69" t="s">
        <v>23</v>
      </c>
      <c r="P50" s="69"/>
      <c r="Q50" s="69" t="s">
        <v>2287</v>
      </c>
    </row>
    <row r="51" spans="1:17" ht="26.25" customHeight="1" x14ac:dyDescent="0.3">
      <c r="A51" s="129">
        <v>1199658</v>
      </c>
      <c r="B51" s="69" t="s">
        <v>2280</v>
      </c>
      <c r="C51" s="52" t="s">
        <v>2288</v>
      </c>
      <c r="D51" s="52" t="s">
        <v>2431</v>
      </c>
      <c r="E51" s="125" t="s">
        <v>2416</v>
      </c>
      <c r="F51" s="125" t="s">
        <v>2432</v>
      </c>
      <c r="G51" s="53" t="s">
        <v>2430</v>
      </c>
      <c r="H51" s="54" t="s">
        <v>17</v>
      </c>
      <c r="I51" s="52" t="s">
        <v>73</v>
      </c>
      <c r="J51" s="55" t="s">
        <v>19</v>
      </c>
      <c r="K51" s="53" t="s">
        <v>74</v>
      </c>
      <c r="L51" s="56" t="s">
        <v>2286</v>
      </c>
      <c r="M51" s="52" t="s">
        <v>22</v>
      </c>
      <c r="N51" s="52" t="s">
        <v>77</v>
      </c>
      <c r="O51" s="69" t="s">
        <v>23</v>
      </c>
      <c r="P51" s="69"/>
      <c r="Q51" s="69" t="s">
        <v>2287</v>
      </c>
    </row>
    <row r="52" spans="1:17" ht="26.25" customHeight="1" x14ac:dyDescent="0.3">
      <c r="A52" s="129">
        <v>1199659</v>
      </c>
      <c r="B52" s="69" t="s">
        <v>2280</v>
      </c>
      <c r="C52" s="52" t="s">
        <v>2292</v>
      </c>
      <c r="D52" s="52" t="s">
        <v>2433</v>
      </c>
      <c r="E52" s="125" t="s">
        <v>2416</v>
      </c>
      <c r="F52" s="125" t="s">
        <v>2434</v>
      </c>
      <c r="G52" s="53" t="s">
        <v>2435</v>
      </c>
      <c r="H52" s="54" t="s">
        <v>17</v>
      </c>
      <c r="I52" s="52" t="s">
        <v>73</v>
      </c>
      <c r="J52" s="55" t="s">
        <v>19</v>
      </c>
      <c r="K52" s="53" t="s">
        <v>74</v>
      </c>
      <c r="L52" s="56" t="s">
        <v>2286</v>
      </c>
      <c r="M52" s="52" t="s">
        <v>22</v>
      </c>
      <c r="N52" s="52" t="s">
        <v>77</v>
      </c>
      <c r="O52" s="69" t="s">
        <v>23</v>
      </c>
      <c r="P52" s="69"/>
      <c r="Q52" s="69" t="s">
        <v>2287</v>
      </c>
    </row>
    <row r="53" spans="1:17" ht="26.25" customHeight="1" x14ac:dyDescent="0.3">
      <c r="A53" s="129">
        <v>1199660</v>
      </c>
      <c r="B53" s="69" t="s">
        <v>2280</v>
      </c>
      <c r="C53" s="52" t="s">
        <v>2295</v>
      </c>
      <c r="D53" s="52" t="s">
        <v>2436</v>
      </c>
      <c r="E53" s="125" t="s">
        <v>2416</v>
      </c>
      <c r="F53" s="125" t="s">
        <v>2437</v>
      </c>
      <c r="G53" s="53" t="s">
        <v>2435</v>
      </c>
      <c r="H53" s="54" t="s">
        <v>17</v>
      </c>
      <c r="I53" s="52" t="s">
        <v>73</v>
      </c>
      <c r="J53" s="55" t="s">
        <v>19</v>
      </c>
      <c r="K53" s="53" t="s">
        <v>74</v>
      </c>
      <c r="L53" s="56" t="s">
        <v>2286</v>
      </c>
      <c r="M53" s="52" t="s">
        <v>22</v>
      </c>
      <c r="N53" s="52" t="s">
        <v>77</v>
      </c>
      <c r="O53" s="69" t="s">
        <v>23</v>
      </c>
      <c r="P53" s="69"/>
      <c r="Q53" s="69" t="s">
        <v>2287</v>
      </c>
    </row>
    <row r="54" spans="1:17" ht="26.25" customHeight="1" x14ac:dyDescent="0.3">
      <c r="A54" s="129">
        <v>1199661</v>
      </c>
      <c r="B54" s="69" t="s">
        <v>2280</v>
      </c>
      <c r="C54" s="52" t="s">
        <v>2298</v>
      </c>
      <c r="D54" s="52" t="s">
        <v>2438</v>
      </c>
      <c r="E54" s="125" t="s">
        <v>2416</v>
      </c>
      <c r="F54" s="125" t="s">
        <v>2439</v>
      </c>
      <c r="G54" s="53" t="s">
        <v>2440</v>
      </c>
      <c r="H54" s="54" t="s">
        <v>17</v>
      </c>
      <c r="I54" s="52" t="s">
        <v>73</v>
      </c>
      <c r="J54" s="55" t="s">
        <v>19</v>
      </c>
      <c r="K54" s="53" t="s">
        <v>74</v>
      </c>
      <c r="L54" s="56" t="s">
        <v>2286</v>
      </c>
      <c r="M54" s="52" t="s">
        <v>22</v>
      </c>
      <c r="N54" s="52" t="s">
        <v>77</v>
      </c>
      <c r="O54" s="69" t="s">
        <v>23</v>
      </c>
      <c r="P54" s="69"/>
      <c r="Q54" s="69" t="s">
        <v>2287</v>
      </c>
    </row>
    <row r="55" spans="1:17" ht="26.25" customHeight="1" x14ac:dyDescent="0.3">
      <c r="A55" s="129">
        <v>1199662</v>
      </c>
      <c r="B55" s="69" t="s">
        <v>2280</v>
      </c>
      <c r="C55" s="52" t="s">
        <v>2302</v>
      </c>
      <c r="D55" s="52" t="s">
        <v>2441</v>
      </c>
      <c r="E55" s="125" t="s">
        <v>2416</v>
      </c>
      <c r="F55" s="125" t="s">
        <v>2442</v>
      </c>
      <c r="G55" s="53" t="s">
        <v>2440</v>
      </c>
      <c r="H55" s="54" t="s">
        <v>17</v>
      </c>
      <c r="I55" s="52" t="s">
        <v>73</v>
      </c>
      <c r="J55" s="55" t="s">
        <v>19</v>
      </c>
      <c r="K55" s="53" t="s">
        <v>74</v>
      </c>
      <c r="L55" s="56" t="s">
        <v>2286</v>
      </c>
      <c r="M55" s="52" t="s">
        <v>22</v>
      </c>
      <c r="N55" s="52" t="s">
        <v>77</v>
      </c>
      <c r="O55" s="69" t="s">
        <v>23</v>
      </c>
      <c r="P55" s="69"/>
      <c r="Q55" s="69" t="s">
        <v>2287</v>
      </c>
    </row>
    <row r="56" spans="1:17" ht="104.25" customHeight="1" x14ac:dyDescent="0.3">
      <c r="A56" s="129">
        <v>1199663</v>
      </c>
      <c r="B56" s="69" t="s">
        <v>2280</v>
      </c>
      <c r="C56" s="52" t="s">
        <v>2281</v>
      </c>
      <c r="D56" s="52" t="s">
        <v>2443</v>
      </c>
      <c r="E56" s="125" t="s">
        <v>2444</v>
      </c>
      <c r="F56" s="125" t="s">
        <v>2445</v>
      </c>
      <c r="G56" s="53" t="s">
        <v>2446</v>
      </c>
      <c r="H56" s="54" t="s">
        <v>17</v>
      </c>
      <c r="I56" s="52" t="s">
        <v>73</v>
      </c>
      <c r="J56" s="55" t="s">
        <v>19</v>
      </c>
      <c r="K56" s="53" t="s">
        <v>74</v>
      </c>
      <c r="L56" s="56" t="s">
        <v>2286</v>
      </c>
      <c r="M56" s="52" t="s">
        <v>22</v>
      </c>
      <c r="N56" s="52" t="s">
        <v>77</v>
      </c>
      <c r="O56" s="69" t="s">
        <v>23</v>
      </c>
      <c r="P56" s="69"/>
      <c r="Q56" s="69" t="s">
        <v>2287</v>
      </c>
    </row>
    <row r="57" spans="1:17" ht="104.25" customHeight="1" x14ac:dyDescent="0.3">
      <c r="A57" s="129">
        <v>1199664</v>
      </c>
      <c r="B57" s="69" t="s">
        <v>2280</v>
      </c>
      <c r="C57" s="52" t="s">
        <v>2288</v>
      </c>
      <c r="D57" s="52" t="s">
        <v>2447</v>
      </c>
      <c r="E57" s="125" t="s">
        <v>2444</v>
      </c>
      <c r="F57" s="125" t="s">
        <v>2445</v>
      </c>
      <c r="G57" s="53" t="s">
        <v>2446</v>
      </c>
      <c r="H57" s="54" t="s">
        <v>17</v>
      </c>
      <c r="I57" s="52" t="s">
        <v>73</v>
      </c>
      <c r="J57" s="55" t="s">
        <v>19</v>
      </c>
      <c r="K57" s="53" t="s">
        <v>74</v>
      </c>
      <c r="L57" s="56" t="s">
        <v>2286</v>
      </c>
      <c r="M57" s="52" t="s">
        <v>22</v>
      </c>
      <c r="N57" s="52" t="s">
        <v>77</v>
      </c>
      <c r="O57" s="69" t="s">
        <v>23</v>
      </c>
      <c r="P57" s="69"/>
      <c r="Q57" s="69" t="s">
        <v>2287</v>
      </c>
    </row>
    <row r="58" spans="1:17" ht="104.25" customHeight="1" x14ac:dyDescent="0.3">
      <c r="A58" s="129">
        <v>1199665</v>
      </c>
      <c r="B58" s="69" t="s">
        <v>2280</v>
      </c>
      <c r="C58" s="52" t="s">
        <v>2292</v>
      </c>
      <c r="D58" s="52" t="s">
        <v>2448</v>
      </c>
      <c r="E58" s="125" t="s">
        <v>2444</v>
      </c>
      <c r="F58" s="125" t="s">
        <v>2449</v>
      </c>
      <c r="G58" s="53" t="s">
        <v>2450</v>
      </c>
      <c r="H58" s="54" t="s">
        <v>17</v>
      </c>
      <c r="I58" s="52" t="s">
        <v>73</v>
      </c>
      <c r="J58" s="55" t="s">
        <v>19</v>
      </c>
      <c r="K58" s="53" t="s">
        <v>74</v>
      </c>
      <c r="L58" s="56" t="s">
        <v>2286</v>
      </c>
      <c r="M58" s="52" t="s">
        <v>22</v>
      </c>
      <c r="N58" s="52" t="s">
        <v>77</v>
      </c>
      <c r="O58" s="69" t="s">
        <v>23</v>
      </c>
      <c r="P58" s="69"/>
      <c r="Q58" s="69" t="s">
        <v>2287</v>
      </c>
    </row>
    <row r="59" spans="1:17" ht="104.25" customHeight="1" x14ac:dyDescent="0.3">
      <c r="A59" s="129">
        <v>1199666</v>
      </c>
      <c r="B59" s="69" t="s">
        <v>2280</v>
      </c>
      <c r="C59" s="52" t="s">
        <v>2295</v>
      </c>
      <c r="D59" s="52" t="s">
        <v>2448</v>
      </c>
      <c r="E59" s="125" t="s">
        <v>2444</v>
      </c>
      <c r="F59" s="125" t="s">
        <v>2451</v>
      </c>
      <c r="G59" s="53" t="s">
        <v>2446</v>
      </c>
      <c r="H59" s="54" t="s">
        <v>17</v>
      </c>
      <c r="I59" s="52" t="s">
        <v>73</v>
      </c>
      <c r="J59" s="55" t="s">
        <v>19</v>
      </c>
      <c r="K59" s="53" t="s">
        <v>74</v>
      </c>
      <c r="L59" s="56" t="s">
        <v>2286</v>
      </c>
      <c r="M59" s="52" t="s">
        <v>22</v>
      </c>
      <c r="N59" s="52" t="s">
        <v>77</v>
      </c>
      <c r="O59" s="69" t="s">
        <v>23</v>
      </c>
      <c r="P59" s="69"/>
      <c r="Q59" s="69" t="s">
        <v>2287</v>
      </c>
    </row>
    <row r="60" spans="1:17" ht="104.25" customHeight="1" x14ac:dyDescent="0.3">
      <c r="A60" s="129">
        <v>1199667</v>
      </c>
      <c r="B60" s="69" t="s">
        <v>2280</v>
      </c>
      <c r="C60" s="52" t="s">
        <v>2298</v>
      </c>
      <c r="D60" s="52" t="s">
        <v>2448</v>
      </c>
      <c r="E60" s="125" t="s">
        <v>2444</v>
      </c>
      <c r="F60" s="125" t="s">
        <v>2452</v>
      </c>
      <c r="G60" s="53" t="s">
        <v>2446</v>
      </c>
      <c r="H60" s="54" t="s">
        <v>17</v>
      </c>
      <c r="I60" s="52" t="s">
        <v>73</v>
      </c>
      <c r="J60" s="55" t="s">
        <v>19</v>
      </c>
      <c r="K60" s="53" t="s">
        <v>74</v>
      </c>
      <c r="L60" s="56" t="s">
        <v>2286</v>
      </c>
      <c r="M60" s="52" t="s">
        <v>22</v>
      </c>
      <c r="N60" s="52" t="s">
        <v>77</v>
      </c>
      <c r="O60" s="69" t="s">
        <v>23</v>
      </c>
      <c r="P60" s="69"/>
      <c r="Q60" s="69" t="s">
        <v>2287</v>
      </c>
    </row>
    <row r="61" spans="1:17" ht="104.25" customHeight="1" x14ac:dyDescent="0.3">
      <c r="A61" s="129">
        <v>1199669</v>
      </c>
      <c r="B61" s="69" t="s">
        <v>2280</v>
      </c>
      <c r="C61" s="84" t="s">
        <v>2453</v>
      </c>
      <c r="D61" s="52" t="s">
        <v>2448</v>
      </c>
      <c r="E61" s="125" t="s">
        <v>2444</v>
      </c>
      <c r="F61" s="125" t="s">
        <v>2452</v>
      </c>
      <c r="G61" s="53" t="s">
        <v>2454</v>
      </c>
      <c r="H61" s="54" t="s">
        <v>17</v>
      </c>
      <c r="I61" s="52" t="s">
        <v>73</v>
      </c>
      <c r="J61" s="55" t="s">
        <v>19</v>
      </c>
      <c r="K61" s="53" t="s">
        <v>74</v>
      </c>
      <c r="L61" s="56" t="s">
        <v>2286</v>
      </c>
      <c r="M61" s="52" t="s">
        <v>22</v>
      </c>
      <c r="N61" s="52" t="s">
        <v>77</v>
      </c>
      <c r="O61" s="69" t="s">
        <v>23</v>
      </c>
      <c r="P61" s="69"/>
      <c r="Q61" s="69" t="s">
        <v>2287</v>
      </c>
    </row>
    <row r="62" spans="1:17" ht="104.25" customHeight="1" x14ac:dyDescent="0.3">
      <c r="A62" s="129">
        <v>1199670</v>
      </c>
      <c r="B62" s="69" t="s">
        <v>2280</v>
      </c>
      <c r="C62" s="84" t="s">
        <v>2455</v>
      </c>
      <c r="D62" s="84" t="s">
        <v>2456</v>
      </c>
      <c r="E62" s="125" t="s">
        <v>2444</v>
      </c>
      <c r="F62" s="125" t="s">
        <v>2452</v>
      </c>
      <c r="G62" s="53" t="s">
        <v>2454</v>
      </c>
      <c r="H62" s="54" t="s">
        <v>17</v>
      </c>
      <c r="I62" s="52" t="s">
        <v>73</v>
      </c>
      <c r="J62" s="55" t="s">
        <v>19</v>
      </c>
      <c r="K62" s="53" t="s">
        <v>74</v>
      </c>
      <c r="L62" s="56" t="s">
        <v>2286</v>
      </c>
      <c r="M62" s="52" t="s">
        <v>22</v>
      </c>
      <c r="N62" s="52" t="s">
        <v>77</v>
      </c>
      <c r="O62" s="69" t="s">
        <v>23</v>
      </c>
      <c r="P62" s="69"/>
      <c r="Q62" s="69" t="s">
        <v>2287</v>
      </c>
    </row>
    <row r="63" spans="1:17" ht="26.25" customHeight="1" x14ac:dyDescent="0.3">
      <c r="A63" s="129">
        <v>1199671</v>
      </c>
      <c r="B63" s="69" t="s">
        <v>2280</v>
      </c>
      <c r="C63" s="52" t="s">
        <v>2281</v>
      </c>
      <c r="D63" s="52" t="s">
        <v>2457</v>
      </c>
      <c r="E63" s="125" t="s">
        <v>2416</v>
      </c>
      <c r="F63" s="125" t="s">
        <v>2458</v>
      </c>
      <c r="G63" s="53" t="s">
        <v>2459</v>
      </c>
      <c r="H63" s="54" t="s">
        <v>17</v>
      </c>
      <c r="I63" s="52" t="s">
        <v>73</v>
      </c>
      <c r="J63" s="55" t="s">
        <v>19</v>
      </c>
      <c r="K63" s="53" t="s">
        <v>74</v>
      </c>
      <c r="L63" s="56" t="s">
        <v>2286</v>
      </c>
      <c r="M63" s="52" t="s">
        <v>113</v>
      </c>
      <c r="N63" s="52" t="s">
        <v>77</v>
      </c>
      <c r="O63" s="69" t="s">
        <v>23</v>
      </c>
      <c r="P63" s="69"/>
      <c r="Q63" s="69" t="s">
        <v>2287</v>
      </c>
    </row>
    <row r="64" spans="1:17" ht="39.75" customHeight="1" x14ac:dyDescent="0.3">
      <c r="A64" s="129">
        <v>1199672</v>
      </c>
      <c r="B64" s="69" t="s">
        <v>2280</v>
      </c>
      <c r="C64" s="52" t="s">
        <v>2288</v>
      </c>
      <c r="D64" s="52" t="s">
        <v>2460</v>
      </c>
      <c r="E64" s="125" t="s">
        <v>2416</v>
      </c>
      <c r="F64" s="125" t="s">
        <v>2461</v>
      </c>
      <c r="G64" s="53" t="s">
        <v>2462</v>
      </c>
      <c r="H64" s="54" t="s">
        <v>17</v>
      </c>
      <c r="I64" s="52" t="s">
        <v>73</v>
      </c>
      <c r="J64" s="55" t="s">
        <v>19</v>
      </c>
      <c r="K64" s="53" t="s">
        <v>74</v>
      </c>
      <c r="L64" s="56" t="s">
        <v>2286</v>
      </c>
      <c r="M64" s="52" t="s">
        <v>22</v>
      </c>
      <c r="N64" s="52" t="s">
        <v>77</v>
      </c>
      <c r="O64" s="69" t="s">
        <v>23</v>
      </c>
      <c r="P64" s="69"/>
      <c r="Q64" s="69" t="s">
        <v>2287</v>
      </c>
    </row>
  </sheetData>
  <phoneticPr fontId="1" type="noConversion"/>
  <hyperlinks>
    <hyperlink ref="L2" r:id="rId1" xr:uid="{00000000-0004-0000-0E00-000000000000}"/>
    <hyperlink ref="L3" r:id="rId2" xr:uid="{00000000-0004-0000-0E00-000001000000}"/>
    <hyperlink ref="L4" r:id="rId3" xr:uid="{00000000-0004-0000-0E00-000002000000}"/>
    <hyperlink ref="L5" r:id="rId4" xr:uid="{00000000-0004-0000-0E00-000003000000}"/>
    <hyperlink ref="L6" r:id="rId5" xr:uid="{00000000-0004-0000-0E00-000004000000}"/>
    <hyperlink ref="L7" r:id="rId6" xr:uid="{00000000-0004-0000-0E00-000005000000}"/>
    <hyperlink ref="L8" r:id="rId7" xr:uid="{00000000-0004-0000-0E00-000006000000}"/>
    <hyperlink ref="L9" r:id="rId8" xr:uid="{00000000-0004-0000-0E00-000007000000}"/>
    <hyperlink ref="L10" r:id="rId9" xr:uid="{00000000-0004-0000-0E00-000008000000}"/>
    <hyperlink ref="L11" r:id="rId10" xr:uid="{00000000-0004-0000-0E00-000009000000}"/>
    <hyperlink ref="L12" r:id="rId11" xr:uid="{00000000-0004-0000-0E00-00000A000000}"/>
    <hyperlink ref="L13" r:id="rId12" xr:uid="{00000000-0004-0000-0E00-00000B000000}"/>
    <hyperlink ref="L14" r:id="rId13" xr:uid="{00000000-0004-0000-0E00-00000C000000}"/>
    <hyperlink ref="L15" r:id="rId14" xr:uid="{00000000-0004-0000-0E00-00000D000000}"/>
    <hyperlink ref="L16" r:id="rId15" xr:uid="{00000000-0004-0000-0E00-00000E000000}"/>
    <hyperlink ref="L17" r:id="rId16" xr:uid="{00000000-0004-0000-0E00-00000F000000}"/>
    <hyperlink ref="L18" r:id="rId17" xr:uid="{00000000-0004-0000-0E00-000010000000}"/>
    <hyperlink ref="L19" r:id="rId18" xr:uid="{00000000-0004-0000-0E00-000011000000}"/>
    <hyperlink ref="L20" r:id="rId19" xr:uid="{00000000-0004-0000-0E00-000012000000}"/>
    <hyperlink ref="L21" r:id="rId20" xr:uid="{00000000-0004-0000-0E00-000013000000}"/>
    <hyperlink ref="L22" r:id="rId21" xr:uid="{00000000-0004-0000-0E00-000014000000}"/>
    <hyperlink ref="L23" r:id="rId22" xr:uid="{00000000-0004-0000-0E00-000015000000}"/>
    <hyperlink ref="L24" r:id="rId23" xr:uid="{00000000-0004-0000-0E00-000016000000}"/>
    <hyperlink ref="L25" r:id="rId24" xr:uid="{00000000-0004-0000-0E00-000017000000}"/>
    <hyperlink ref="L26" r:id="rId25" xr:uid="{00000000-0004-0000-0E00-000018000000}"/>
    <hyperlink ref="L27" r:id="rId26" xr:uid="{00000000-0004-0000-0E00-000019000000}"/>
    <hyperlink ref="L28" r:id="rId27" xr:uid="{00000000-0004-0000-0E00-00001A000000}"/>
    <hyperlink ref="L29" r:id="rId28" xr:uid="{00000000-0004-0000-0E00-00001B000000}"/>
    <hyperlink ref="L30" r:id="rId29" xr:uid="{00000000-0004-0000-0E00-00001C000000}"/>
    <hyperlink ref="L31" r:id="rId30" xr:uid="{00000000-0004-0000-0E00-00001D000000}"/>
    <hyperlink ref="L32" r:id="rId31" xr:uid="{00000000-0004-0000-0E00-00001E000000}"/>
    <hyperlink ref="L33" r:id="rId32" xr:uid="{00000000-0004-0000-0E00-00001F000000}"/>
    <hyperlink ref="L34" r:id="rId33" xr:uid="{00000000-0004-0000-0E00-000020000000}"/>
    <hyperlink ref="L35" r:id="rId34" xr:uid="{00000000-0004-0000-0E00-000021000000}"/>
    <hyperlink ref="L36" r:id="rId35" xr:uid="{00000000-0004-0000-0E00-000022000000}"/>
    <hyperlink ref="L37" r:id="rId36" xr:uid="{00000000-0004-0000-0E00-000023000000}"/>
    <hyperlink ref="L38" r:id="rId37" xr:uid="{00000000-0004-0000-0E00-000024000000}"/>
    <hyperlink ref="L39" r:id="rId38" xr:uid="{00000000-0004-0000-0E00-000025000000}"/>
    <hyperlink ref="L40" r:id="rId39" xr:uid="{00000000-0004-0000-0E00-000026000000}"/>
    <hyperlink ref="L41" r:id="rId40" xr:uid="{00000000-0004-0000-0E00-000027000000}"/>
    <hyperlink ref="L42" r:id="rId41" xr:uid="{00000000-0004-0000-0E00-000028000000}"/>
    <hyperlink ref="L43" r:id="rId42" xr:uid="{00000000-0004-0000-0E00-000029000000}"/>
    <hyperlink ref="L44" r:id="rId43" xr:uid="{00000000-0004-0000-0E00-00002A000000}"/>
    <hyperlink ref="L45" r:id="rId44" xr:uid="{00000000-0004-0000-0E00-00002B000000}"/>
    <hyperlink ref="L46" r:id="rId45" xr:uid="{00000000-0004-0000-0E00-00002C000000}"/>
    <hyperlink ref="L47" r:id="rId46" xr:uid="{00000000-0004-0000-0E00-00002D000000}"/>
    <hyperlink ref="L48" r:id="rId47" xr:uid="{00000000-0004-0000-0E00-00002E000000}"/>
    <hyperlink ref="L49" r:id="rId48" xr:uid="{00000000-0004-0000-0E00-00002F000000}"/>
    <hyperlink ref="L50" r:id="rId49" xr:uid="{00000000-0004-0000-0E00-000030000000}"/>
    <hyperlink ref="L51" r:id="rId50" xr:uid="{00000000-0004-0000-0E00-000031000000}"/>
    <hyperlink ref="L52" r:id="rId51" xr:uid="{00000000-0004-0000-0E00-000032000000}"/>
    <hyperlink ref="L53" r:id="rId52" xr:uid="{00000000-0004-0000-0E00-000033000000}"/>
    <hyperlink ref="L54" r:id="rId53" xr:uid="{00000000-0004-0000-0E00-000034000000}"/>
    <hyperlink ref="L55" r:id="rId54" xr:uid="{00000000-0004-0000-0E00-000035000000}"/>
    <hyperlink ref="L56" r:id="rId55" xr:uid="{00000000-0004-0000-0E00-000036000000}"/>
    <hyperlink ref="L57" r:id="rId56" xr:uid="{00000000-0004-0000-0E00-000037000000}"/>
    <hyperlink ref="L58" r:id="rId57" xr:uid="{00000000-0004-0000-0E00-000038000000}"/>
    <hyperlink ref="L59" r:id="rId58" xr:uid="{00000000-0004-0000-0E00-000039000000}"/>
    <hyperlink ref="L60" r:id="rId59" xr:uid="{00000000-0004-0000-0E00-00003A000000}"/>
    <hyperlink ref="L61" r:id="rId60" xr:uid="{00000000-0004-0000-0E00-00003B000000}"/>
    <hyperlink ref="L62" r:id="rId61" xr:uid="{00000000-0004-0000-0E00-00003C000000}"/>
    <hyperlink ref="L63" r:id="rId62" xr:uid="{00000000-0004-0000-0E00-00003D000000}"/>
    <hyperlink ref="L64" r:id="rId63" xr:uid="{00000000-0004-0000-0E00-00003E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45482639B3FE2449322AEE68153D49B" ma:contentTypeVersion="2" ma:contentTypeDescription="新建文档。" ma:contentTypeScope="" ma:versionID="b1a10d03329f0ec6e271101c5f305d5f">
  <xsd:schema xmlns:xsd="http://www.w3.org/2001/XMLSchema" xmlns:xs="http://www.w3.org/2001/XMLSchema" xmlns:p="http://schemas.microsoft.com/office/2006/metadata/properties" xmlns:ns2="af7c23d2-59e9-4b20-b30d-25c78fcc98d5" targetNamespace="http://schemas.microsoft.com/office/2006/metadata/properties" ma:root="true" ma:fieldsID="7b3374202012e44b15349a4488edcf1c" ns2:_="">
    <xsd:import namespace="af7c23d2-59e9-4b20-b30d-25c78fcc98d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c23d2-59e9-4b20-b30d-25c78fcc98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F258AA-ED28-45C9-84FA-3681B0E8EC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F8608F-F982-4FB5-9717-CF74C1EFAD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4A756-FCB3-4FCE-B6D3-B91325475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7c23d2-59e9-4b20-b30d-25c78fcc98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test_template</vt:lpstr>
      <vt:lpstr>summary</vt:lpstr>
      <vt:lpstr>蜂窝网络</vt:lpstr>
      <vt:lpstr>EM</vt:lpstr>
      <vt:lpstr>数字安全</vt:lpstr>
      <vt:lpstr>以太网通信</vt:lpstr>
      <vt:lpstr>GNSS</vt:lpstr>
      <vt:lpstr>DoIP</vt:lpstr>
      <vt:lpstr>SoftwareUpdate</vt:lpstr>
      <vt:lpstr>新能源车监控RTM</vt:lpstr>
      <vt:lpstr>网络管理</vt:lpstr>
      <vt:lpstr>HAVP</vt:lpstr>
      <vt:lpstr>远程车控（删除）</vt:lpstr>
      <vt:lpstr>FOTA</vt:lpstr>
      <vt:lpstr>Ecall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subject>Export Excel</dc:subject>
  <dc:creator>赵金辉 Jinhui</dc:creator>
  <cp:keywords/>
  <dc:description/>
  <cp:lastModifiedBy>陶磊 Lei</cp:lastModifiedBy>
  <cp:revision>0</cp:revision>
  <dcterms:created xsi:type="dcterms:W3CDTF">2010-06-08T17:51:11Z</dcterms:created>
  <dcterms:modified xsi:type="dcterms:W3CDTF">2022-10-21T05:25:07Z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0x010100745482639B3FE2449322AEE68153D49B</vt:lpwstr>
  </property>
</Properties>
</file>